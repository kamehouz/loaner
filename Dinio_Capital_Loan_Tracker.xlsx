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s" sheetId="1" state="visible" r:id="rId3"/>
    <sheet name="Loan Detail" sheetId="2" state="visible" r:id="rId4"/>
    <sheet name="Referral Fees" sheetId="3" state="visible" r:id="rId5"/>
    <sheet name="Invoice" sheetId="4" state="visible" r:id="rId6"/>
    <sheet name="Dashboard" sheetId="5" state="visible" r:id="rId7"/>
  </sheets>
  <definedNames>
    <definedName function="false" hidden="false" localSheetId="4" name="_xlnm.Print_Area" vbProcedure="false">Dashboard!$A$1:$Q$57</definedName>
    <definedName function="false" hidden="false" localSheetId="3" name="_xlnm.Print_Area" vbProcedure="false">Invoice!$A$1:$F$66</definedName>
    <definedName function="false" hidden="false" localSheetId="1" name="_xlnm.Print_Area" vbProcedure="false">'Loan Detail'!$A$1:$I$72</definedName>
    <definedName function="false" hidden="false" localSheetId="0" name="_xlnm.Print_Area" vbProcedure="false">Loans!$A$1:$R$62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1" authorId="0">
      <text>
        <r>
          <rPr>
            <sz val="10"/>
            <rFont val="Arial"/>
            <family val="2"/>
          </rPr>
          <t xml:space="preserve">Sum of the interest of a separate loan on Costo de Equipo at the yearly referral rate: term x PMT minus Costo de Equipo. Matches the sum of the monthly fees on Loan Detail.</t>
        </r>
      </text>
    </comment>
    <comment ref="Q11" authorId="0">
      <text>
        <r>
          <rPr>
            <sz val="10"/>
            <rFont val="Arial"/>
            <family val="2"/>
          </rPr>
          <t xml:space="preserve">Closed loans only: number of monthly payments dated on or before Today, up to the term.</t>
        </r>
      </text>
    </comment>
  </commentList>
</comments>
</file>

<file path=xl/sharedStrings.xml><?xml version="1.0" encoding="utf-8"?>
<sst xmlns="http://schemas.openxmlformats.org/spreadsheetml/2006/main" count="178" uniqueCount="135">
  <si>
    <t xml:space="preserve">Dinio Capital | Loan Tracker</t>
  </si>
  <si>
    <t xml:space="preserve">Blue text = you type it.  Black text = formula.  Grey fill = calculated column (do not type over it).  Costo de Equipo is the base for all three fees.</t>
  </si>
  <si>
    <t xml:space="preserve">Loans 1 to 3 are SAMPLES (placeholder names, assumed dates, 8.99% and 60 months where not given). Replace them with real loans.</t>
  </si>
  <si>
    <t xml:space="preserve">Fee Rates</t>
  </si>
  <si>
    <t xml:space="preserve">Notes / Open Items</t>
  </si>
  <si>
    <t xml:space="preserve">Origination Fee %</t>
  </si>
  <si>
    <t xml:space="preserve">1. SAMPLE DATA: loans 1 to 3 are placeholders. Replace client names, dates, rates and terms with real values.
2. OPEN: the bank's invoice requirements are unknown (Bill To, Invoice #, payment instructions, layout). Confirm them.
3. OPEN: confirm the referral fee method and base against the agreement (modeled as the interest of a separate loan on Costo de Equipo, same term, at the yearly rate in the Fee Rates box).
4. First Payment Date defaults to 1 month after Closing Date. Type over it if the real date differs.</t>
  </si>
  <si>
    <t xml:space="preserve">Legal/Closing Fee %</t>
  </si>
  <si>
    <t xml:space="preserve">Referral Fee % (yearly)</t>
  </si>
  <si>
    <t xml:space="preserve">Today (automatic)</t>
  </si>
  <si>
    <t xml:space="preserve">INPUTS (type in blue cells)</t>
  </si>
  <si>
    <t xml:space="preserve">CALCULATED</t>
  </si>
  <si>
    <t xml:space="preserve">HELPER COLUMNS (feed other tabs, do not edit)</t>
  </si>
  <si>
    <t xml:space="preserve">Loan #</t>
  </si>
  <si>
    <t xml:space="preserve">Client or Company</t>
  </si>
  <si>
    <t xml:space="preserve">Status</t>
  </si>
  <si>
    <t xml:space="preserve">Closing Date
(expected if Pipeline)</t>
  </si>
  <si>
    <t xml:space="preserve">First Payment Date
(auto, can overwrite)</t>
  </si>
  <si>
    <t xml:space="preserve">Costo de Equipo</t>
  </si>
  <si>
    <t xml:space="preserve">Pronto %</t>
  </si>
  <si>
    <t xml:space="preserve">Interes</t>
  </si>
  <si>
    <t xml:space="preserve">Termino (mo.)</t>
  </si>
  <si>
    <t xml:space="preserve">Pronto $</t>
  </si>
  <si>
    <t xml:space="preserve">Monto a Financiar</t>
  </si>
  <si>
    <t xml:space="preserve">Pago Mensual</t>
  </si>
  <si>
    <t xml:space="preserve">Origination Fee</t>
  </si>
  <si>
    <t xml:space="preserve">Legal/Closing Fee</t>
  </si>
  <si>
    <t xml:space="preserve">Referral Fee
over life of loan</t>
  </si>
  <si>
    <t xml:space="preserve">Referral Fee earned to date</t>
  </si>
  <si>
    <t xml:space="preserve">Payments Made</t>
  </si>
  <si>
    <t xml:space="preserve">Next Payment Date</t>
  </si>
  <si>
    <t xml:space="preserve">Months from 1st Pmt to Today</t>
  </si>
  <si>
    <t xml:space="preserve">Payments Due to Date (uncapped)</t>
  </si>
  <si>
    <t xml:space="preserve">Closing Month</t>
  </si>
  <si>
    <t xml:space="preserve">Closing Fees (Orig + Legal)</t>
  </si>
  <si>
    <t xml:space="preserve">Closing Fees if Closed</t>
  </si>
  <si>
    <t xml:space="preserve">Closing Fees if Pipeline</t>
  </si>
  <si>
    <t xml:space="preserve">Pipeline Counter</t>
  </si>
  <si>
    <t xml:space="preserve">SAMPLE Client A (replace)</t>
  </si>
  <si>
    <t xml:space="preserve">Closed</t>
  </si>
  <si>
    <t xml:space="preserve">SAMPLE Client B (replace)</t>
  </si>
  <si>
    <t xml:space="preserve">Pipeline</t>
  </si>
  <si>
    <t xml:space="preserve">SAMPLE Client C (replace)</t>
  </si>
  <si>
    <t xml:space="preserve">TOTAL</t>
  </si>
  <si>
    <t xml:space="preserve">(Dead loans count in amounts, not in fees)</t>
  </si>
  <si>
    <t xml:space="preserve">Loan Detail | Tabla de Amortizacion</t>
  </si>
  <si>
    <t xml:space="preserve">Pick a Loan # in the blue cell B3. Everything else on this tab is calculated.</t>
  </si>
  <si>
    <t xml:space="preserve">Fee Table (base = Costo de Equipo)</t>
  </si>
  <si>
    <t xml:space="preserve">Closing Date</t>
  </si>
  <si>
    <t xml:space="preserve">Referral Fee, lifetime</t>
  </si>
  <si>
    <t xml:space="preserve">First Payment Date</t>
  </si>
  <si>
    <t xml:space="preserve">Referral Fee, first 12 months</t>
  </si>
  <si>
    <t xml:space="preserve">Row in Loans (helper)</t>
  </si>
  <si>
    <t xml:space="preserve">Total Fees (lifetime)</t>
  </si>
  <si>
    <t xml:space="preserve">Referral loan payment (helper)</t>
  </si>
  <si>
    <t xml:space="preserve">Referral Fee shows what the fee would be if the loan were Closed. Billing tabs only use Closed loans.</t>
  </si>
  <si>
    <t xml:space="preserve">Check: lifetime referral vs Loans tab</t>
  </si>
  <si>
    <t xml:space="preserve">Pmt #</t>
  </si>
  <si>
    <t xml:space="preserve">Pmt Date</t>
  </si>
  <si>
    <t xml:space="preserve">Principal</t>
  </si>
  <si>
    <t xml:space="preserve">Interest</t>
  </si>
  <si>
    <t xml:space="preserve">P&amp;I Pmt</t>
  </si>
  <si>
    <t xml:space="preserve">Balance</t>
  </si>
  <si>
    <t xml:space="preserve">Referral Fee</t>
  </si>
  <si>
    <t xml:space="preserve">Ref. loan principal (helper)</t>
  </si>
  <si>
    <t xml:space="preserve">Ref. loan balance (helper)</t>
  </si>
  <si>
    <t xml:space="preserve">Referral Fees (engine, nothing to type)</t>
  </si>
  <si>
    <t xml:space="preserve">Block 1: referral fee for each payment number, Closed loans only. Fee = balance x yearly rate / 12 on a separate loan for the same Costo de Equipo and term (rate in Loans!C7). Block 2 holds that separate loan's balance.</t>
  </si>
  <si>
    <t xml:space="preserve">Blocks 3 and 4 (further down) turn the same fees into calendar months for the Dashboard.</t>
  </si>
  <si>
    <t xml:space="preserve">BLOCK 1: Referral Fee by payment number</t>
  </si>
  <si>
    <t xml:space="preserve">Client</t>
  </si>
  <si>
    <t xml:space="preserve">Referral loan monthly payment</t>
  </si>
  <si>
    <t xml:space="preserve">Total Referral Fee</t>
  </si>
  <si>
    <t xml:space="preserve">BLOCK 2: Balance of the separate referral loan after each payment (helper)</t>
  </si>
  <si>
    <t xml:space="preserve">BLOCK 3: Payment number that falls in each calendar month (helper). Blank = no payment that month.</t>
  </si>
  <si>
    <t xml:space="preserve">BLOCK 4: Referral Fee by calendar month (feeds the Dashboard)</t>
  </si>
  <si>
    <t xml:space="preserve">INVOICE</t>
  </si>
  <si>
    <t xml:space="preserve">Dinio Capital | Referral and closing fees</t>
  </si>
  <si>
    <t xml:space="preserve">Bill To:</t>
  </si>
  <si>
    <t xml:space="preserve">Invoice #:</t>
  </si>
  <si>
    <t xml:space="preserve">Invoice Date:</t>
  </si>
  <si>
    <t xml:space="preserve">Payment Instructions:</t>
  </si>
  <si>
    <t xml:space="preserve">Invoice Month (type the 1st of the month)</t>
  </si>
  <si>
    <t xml:space="preserve">&lt;- type a date such as 01/10/2026</t>
  </si>
  <si>
    <t xml:space="preserve">Billing month</t>
  </si>
  <si>
    <t xml:space="preserve">SUBTOTALS</t>
  </si>
  <si>
    <t xml:space="preserve">Closing Fees</t>
  </si>
  <si>
    <t xml:space="preserve">Referral Fees</t>
  </si>
  <si>
    <t xml:space="preserve">HELPER COLUMNS (not printed, do not edit)</t>
  </si>
  <si>
    <t xml:space="preserve">Subtotal by fee type</t>
  </si>
  <si>
    <t xml:space="preserve">&lt;- number of lines to bill</t>
  </si>
  <si>
    <t xml:space="preserve">GRAND TOTAL TO BILL</t>
  </si>
  <si>
    <t xml:space="preserve">Payment #</t>
  </si>
  <si>
    <t xml:space="preserve">Row Total</t>
  </si>
  <si>
    <t xml:space="preserve">Line</t>
  </si>
  <si>
    <t xml:space="preserve">Closing Fees this month</t>
  </si>
  <si>
    <t xml:space="preserve">Pmt # (raw)</t>
  </si>
  <si>
    <t xml:space="preserve">Pmt # to bill</t>
  </si>
  <si>
    <t xml:space="preserve">Bill? (1 = yes)</t>
  </si>
  <si>
    <t xml:space="preserve">Running Counter</t>
  </si>
  <si>
    <t xml:space="preserve">Row in list</t>
  </si>
  <si>
    <t xml:space="preserve">Dinio Capital | Dashboard</t>
  </si>
  <si>
    <t xml:space="preserve">All numbers are formulas fed by the Loans tab. Volume = Monto a Financiar. SAMPLE loans are included until you replace them.</t>
  </si>
  <si>
    <t xml:space="preserve">Portfolio</t>
  </si>
  <si>
    <t xml:space="preserve">Fees Earned to Date (Closed loans)</t>
  </si>
  <si>
    <t xml:space="preserve">Closed loans (count)</t>
  </si>
  <si>
    <t xml:space="preserve">Origination</t>
  </si>
  <si>
    <t xml:space="preserve">Pipeline loans (count)</t>
  </si>
  <si>
    <t xml:space="preserve">Legal/Closing</t>
  </si>
  <si>
    <t xml:space="preserve">Total closed loan volume</t>
  </si>
  <si>
    <t xml:space="preserve">Referral (payments to date)</t>
  </si>
  <si>
    <t xml:space="preserve">Total pipeline volume</t>
  </si>
  <si>
    <t xml:space="preserve">Total earned</t>
  </si>
  <si>
    <t xml:space="preserve">Average loan size (Closed + Pipeline)</t>
  </si>
  <si>
    <t xml:space="preserve">Billing</t>
  </si>
  <si>
    <t xml:space="preserve">Expected Fees from Pipeline Loans</t>
  </si>
  <si>
    <t xml:space="preserve">This month's invoice total (Closed loans)</t>
  </si>
  <si>
    <t xml:space="preserve">Referral fees expected, next 12 months</t>
  </si>
  <si>
    <t xml:space="preserve">Referral (lifetime)</t>
  </si>
  <si>
    <t xml:space="preserve">Total expected</t>
  </si>
  <si>
    <t xml:space="preserve">Expected fees by month, next 12 months (starting with the current month)</t>
  </si>
  <si>
    <t xml:space="preserve">Referral fees: Closed loans only. Closing fees: Closed loans and Pipeline loans, by Closing Date month. Pipeline referral fees are not spread by month.</t>
  </si>
  <si>
    <t xml:space="preserve">Month</t>
  </si>
  <si>
    <t xml:space="preserve">Referral Fees (Closed)</t>
  </si>
  <si>
    <t xml:space="preserve">Closing Fees (Closed)</t>
  </si>
  <si>
    <t xml:space="preserve">Closing Fees (Pipeline)</t>
  </si>
  <si>
    <t xml:space="preserve">Total Expected</t>
  </si>
  <si>
    <t xml:space="preserve">Pipeline loans</t>
  </si>
  <si>
    <t xml:space="preserve">Helper (not for editing)</t>
  </si>
  <si>
    <t xml:space="preserve">Amount (Monto a Financiar)</t>
  </si>
  <si>
    <t xml:space="preserve">Expected Closing Date</t>
  </si>
  <si>
    <t xml:space="preserve">Referral Fees (lifetime)</t>
  </si>
  <si>
    <t xml:space="preserve">Total Expected Fees</t>
  </si>
  <si>
    <t xml:space="preserve">Row in Loans</t>
  </si>
  <si>
    <t xml:space="preserve">Shows up to 20 pipeline loans. The Pipeline loans count above is always complete.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</si>
</sst>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"/>
    <numFmt numFmtId="166" formatCode="dd/mm/yyyy"/>
    <numFmt numFmtId="167" formatCode="#,##0.00"/>
    <numFmt numFmtId="168" formatCode="0"/>
    <numFmt numFmtId="169" formatCode="mmm\ yyyy"/>
    <numFmt numFmtId="170" formatCode="General"/>
    <numFmt numFmtId="171" formatCode="#,##0.00;\-#,##0.00;\-"/>
    <numFmt numFmtId="172" formatCode="mmmm\ yyyy"/>
    <numFmt numFmtId="173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8EA9DB"/>
        <bgColor rgb="FFA6A6A6"/>
      </patternFill>
    </fill>
    <fill>
      <patternFill patternType="solid">
        <fgColor rgb="FFE7E6E6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strike val="1"/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8EA9DB"/>
      <rgbColor rgb="FFC0504D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fees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Referral Fees (Closed)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Dashboard!$A$20:$A$31</c:f>
              <c:strCache>
                <c:ptCount val="12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>Mar 2027</c:v>
                </c:pt>
                <c:pt idx="6">
                  <c:v>Apr 2027</c:v>
                </c:pt>
                <c:pt idx="7">
                  <c:v>May 2027</c:v>
                </c:pt>
                <c:pt idx="8">
                  <c:v>Jun 2027</c:v>
                </c:pt>
                <c:pt idx="9">
                  <c:v>Jul 2027</c:v>
                </c:pt>
                <c:pt idx="10">
                  <c:v>Aug 2027</c:v>
                </c:pt>
                <c:pt idx="11">
                  <c:v>Sep 2027</c:v>
                </c:pt>
              </c:strCache>
            </c:strRef>
          </c:cat>
          <c:val>
            <c:numRef>
              <c:f>Dashboard!$B$20:$B$31</c:f>
              <c:numCache>
                <c:formatCode>#,##0.00;\-#,##0.00;\-</c:formatCode>
                <c:ptCount val="12"/>
                <c:pt idx="0">
                  <c:v>15.3632540118027</c:v>
                </c:pt>
                <c:pt idx="1">
                  <c:v>15.1015029307835</c:v>
                </c:pt>
                <c:pt idx="2">
                  <c:v>14.839642786814</c:v>
                </c:pt>
                <c:pt idx="3">
                  <c:v>14.5776735344511</c:v>
                </c:pt>
                <c:pt idx="4">
                  <c:v>14.315595128233</c:v>
                </c:pt>
                <c:pt idx="5">
                  <c:v>14.0534075226791</c:v>
                </c:pt>
                <c:pt idx="6">
                  <c:v>13.7911106722894</c:v>
                </c:pt>
                <c:pt idx="7">
                  <c:v>13.5287045315455</c:v>
                </c:pt>
                <c:pt idx="8">
                  <c:v>13.2661890549096</c:v>
                </c:pt>
                <c:pt idx="9">
                  <c:v>13.0035641968251</c:v>
                </c:pt>
                <c:pt idx="10">
                  <c:v>12.7408299117163</c:v>
                </c:pt>
                <c:pt idx="11">
                  <c:v>12.4779861539888</c:v>
                </c:pt>
              </c:numCache>
            </c:numRef>
          </c:val>
        </c:ser>
        <c:ser>
          <c:idx val="1"/>
          <c:order val="1"/>
          <c:tx>
            <c:strRef>
              <c:f>Dashboard!C19</c:f>
              <c:strCache>
                <c:ptCount val="1"/>
                <c:pt idx="0">
                  <c:v>Closing Fees (Closed)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Dashboard!$A$20:$A$31</c:f>
              <c:strCache>
                <c:ptCount val="12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>Mar 2027</c:v>
                </c:pt>
                <c:pt idx="6">
                  <c:v>Apr 2027</c:v>
                </c:pt>
                <c:pt idx="7">
                  <c:v>May 2027</c:v>
                </c:pt>
                <c:pt idx="8">
                  <c:v>Jun 2027</c:v>
                </c:pt>
                <c:pt idx="9">
                  <c:v>Jul 2027</c:v>
                </c:pt>
                <c:pt idx="10">
                  <c:v>Aug 2027</c:v>
                </c:pt>
                <c:pt idx="11">
                  <c:v>Sep 2027</c:v>
                </c:pt>
              </c:strCache>
            </c:strRef>
          </c:cat>
          <c:val>
            <c:numRef>
              <c:f>Dashboard!$C$20:$C$31</c:f>
              <c:numCache>
                <c:formatCode>#,##0.00;\-#,##0.00;\-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Dashboard!D19</c:f>
              <c:strCache>
                <c:ptCount val="1"/>
                <c:pt idx="0">
                  <c:v>Closing Fees (Pipeline)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Dashboard!$A$20:$A$31</c:f>
              <c:strCache>
                <c:ptCount val="12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>Mar 2027</c:v>
                </c:pt>
                <c:pt idx="6">
                  <c:v>Apr 2027</c:v>
                </c:pt>
                <c:pt idx="7">
                  <c:v>May 2027</c:v>
                </c:pt>
                <c:pt idx="8">
                  <c:v>Jun 2027</c:v>
                </c:pt>
                <c:pt idx="9">
                  <c:v>Jul 2027</c:v>
                </c:pt>
                <c:pt idx="10">
                  <c:v>Aug 2027</c:v>
                </c:pt>
                <c:pt idx="11">
                  <c:v>Sep 2027</c:v>
                </c:pt>
              </c:strCache>
            </c:strRef>
          </c:cat>
          <c:val>
            <c:numRef>
              <c:f>Dashboard!$D$20:$D$31</c:f>
              <c:numCache>
                <c:formatCode>#,##0.00;\-#,##0.00;\-</c:formatCode>
                <c:ptCount val="12"/>
                <c:pt idx="0">
                  <c:v>0</c:v>
                </c:pt>
                <c:pt idx="1">
                  <c:v>1160</c:v>
                </c:pt>
                <c:pt idx="2">
                  <c:v>350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56688493"/>
        <c:axId val="35543438"/>
      </c:barChart>
      <c:catAx>
        <c:axId val="56688493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43438"/>
        <c:crosses val="autoZero"/>
        <c:auto val="1"/>
        <c:lblAlgn val="ctr"/>
        <c:lblOffset val="100"/>
        <c:noMultiLvlLbl val="0"/>
      </c:catAx>
      <c:valAx>
        <c:axId val="35543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884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13</xdr:col>
      <xdr:colOff>679680</xdr:colOff>
      <xdr:row>21</xdr:row>
      <xdr:rowOff>111240</xdr:rowOff>
    </xdr:to>
    <xdr:graphicFrame>
      <xdr:nvGraphicFramePr>
        <xdr:cNvPr id="0" name="Chart 1"/>
        <xdr:cNvGraphicFramePr/>
      </xdr:nvGraphicFramePr>
      <xdr:xfrm>
        <a:off x="12979440" y="5716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3" min="12" style="0" width="13"/>
    <col collapsed="false" customWidth="true" hidden="false" outlineLevel="0" max="14" min="14" style="0" width="14"/>
    <col collapsed="false" customWidth="true" hidden="false" outlineLevel="0" max="16" min="15" style="0" width="15"/>
    <col collapsed="false" customWidth="true" hidden="false" outlineLevel="0" max="17" min="17" style="0" width="10"/>
    <col collapsed="false" customWidth="true" hidden="false" outlineLevel="0" max="19" min="18" style="0" width="14"/>
    <col collapsed="false" customWidth="true" hidden="false" outlineLevel="0" max="20" min="20" style="0" width="15"/>
    <col collapsed="false" customWidth="true" hidden="false" outlineLevel="0" max="21" min="21" style="0" width="12"/>
    <col collapsed="false" customWidth="true" hidden="false" outlineLevel="0" max="24" min="22" style="0" width="14"/>
    <col collapsed="false" customWidth="true" hidden="false" outlineLevel="0" max="25" min="25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true" outlineLevel="0" collapsed="false">
      <c r="B4" s="4" t="s">
        <v>3</v>
      </c>
      <c r="C4" s="4"/>
      <c r="E4" s="4" t="s">
        <v>4</v>
      </c>
      <c r="F4" s="4"/>
      <c r="G4" s="4"/>
      <c r="H4" s="4"/>
      <c r="I4" s="4"/>
      <c r="J4" s="4"/>
      <c r="K4" s="4"/>
      <c r="L4" s="4"/>
    </row>
    <row r="5" customFormat="false" ht="18.75" hidden="false" customHeight="true" outlineLevel="0" collapsed="false">
      <c r="B5" s="5" t="s">
        <v>5</v>
      </c>
      <c r="C5" s="6" t="n">
        <v>0.01</v>
      </c>
      <c r="E5" s="7" t="s">
        <v>6</v>
      </c>
      <c r="F5" s="7"/>
      <c r="G5" s="7"/>
      <c r="H5" s="7"/>
      <c r="I5" s="7"/>
      <c r="J5" s="7"/>
      <c r="K5" s="7"/>
      <c r="L5" s="7"/>
    </row>
    <row r="6" customFormat="false" ht="18.75" hidden="false" customHeight="true" outlineLevel="0" collapsed="false">
      <c r="B6" s="5" t="s">
        <v>7</v>
      </c>
      <c r="C6" s="6" t="n">
        <v>0.01</v>
      </c>
      <c r="E6" s="7"/>
      <c r="F6" s="7"/>
      <c r="G6" s="7"/>
      <c r="H6" s="7"/>
      <c r="I6" s="7"/>
      <c r="J6" s="7"/>
      <c r="K6" s="7"/>
      <c r="L6" s="7"/>
    </row>
    <row r="7" customFormat="false" ht="18.75" hidden="false" customHeight="true" outlineLevel="0" collapsed="false">
      <c r="B7" s="5" t="s">
        <v>8</v>
      </c>
      <c r="C7" s="6" t="n">
        <v>0.005</v>
      </c>
      <c r="E7" s="7"/>
      <c r="F7" s="7"/>
      <c r="G7" s="7"/>
      <c r="H7" s="7"/>
      <c r="I7" s="7"/>
      <c r="J7" s="7"/>
      <c r="K7" s="7"/>
      <c r="L7" s="7"/>
    </row>
    <row r="8" customFormat="false" ht="18.75" hidden="false" customHeight="true" outlineLevel="0" collapsed="false">
      <c r="B8" s="5" t="s">
        <v>9</v>
      </c>
      <c r="C8" s="8" t="n">
        <f aca="true">TODAY()</f>
        <v>46296</v>
      </c>
      <c r="E8" s="7"/>
      <c r="F8" s="7"/>
      <c r="G8" s="7"/>
      <c r="H8" s="7"/>
      <c r="I8" s="7"/>
      <c r="J8" s="7"/>
      <c r="K8" s="7"/>
      <c r="L8" s="7"/>
    </row>
    <row r="9" customFormat="false" ht="18.75" hidden="false" customHeight="true" outlineLevel="0" collapsed="false">
      <c r="E9" s="7"/>
      <c r="F9" s="7"/>
      <c r="G9" s="7"/>
      <c r="H9" s="7"/>
      <c r="I9" s="7"/>
      <c r="J9" s="7"/>
      <c r="K9" s="7"/>
      <c r="L9" s="7"/>
    </row>
    <row r="10" customFormat="false" ht="15" hidden="false" customHeight="true" outlineLevel="0" collapsed="false">
      <c r="A10" s="9" t="s">
        <v>10</v>
      </c>
      <c r="B10" s="9"/>
      <c r="C10" s="9"/>
      <c r="D10" s="9"/>
      <c r="E10" s="9"/>
      <c r="F10" s="9"/>
      <c r="G10" s="9"/>
      <c r="H10" s="9"/>
      <c r="I10" s="9"/>
      <c r="J10" s="9" t="s">
        <v>11</v>
      </c>
      <c r="K10" s="9"/>
      <c r="L10" s="9"/>
      <c r="M10" s="9"/>
      <c r="N10" s="9"/>
      <c r="O10" s="9"/>
      <c r="P10" s="9"/>
      <c r="Q10" s="9"/>
      <c r="R10" s="9"/>
      <c r="S10" s="9" t="s">
        <v>12</v>
      </c>
      <c r="T10" s="9"/>
      <c r="U10" s="9"/>
      <c r="V10" s="9"/>
      <c r="W10" s="9"/>
      <c r="X10" s="9"/>
      <c r="Y10" s="9"/>
    </row>
    <row r="11" customFormat="false" ht="45" hidden="false" customHeight="true" outlineLevel="0" collapsed="false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  <c r="G11" s="10" t="s">
        <v>19</v>
      </c>
      <c r="H11" s="10" t="s">
        <v>20</v>
      </c>
      <c r="I11" s="10" t="s">
        <v>21</v>
      </c>
      <c r="J11" s="10" t="s">
        <v>22</v>
      </c>
      <c r="K11" s="10" t="s">
        <v>23</v>
      </c>
      <c r="L11" s="10" t="s">
        <v>24</v>
      </c>
      <c r="M11" s="10" t="s">
        <v>25</v>
      </c>
      <c r="N11" s="10" t="s">
        <v>26</v>
      </c>
      <c r="O11" s="10" t="s">
        <v>27</v>
      </c>
      <c r="P11" s="10" t="s">
        <v>28</v>
      </c>
      <c r="Q11" s="10" t="s">
        <v>29</v>
      </c>
      <c r="R11" s="10" t="s">
        <v>30</v>
      </c>
      <c r="S11" s="10" t="s">
        <v>31</v>
      </c>
      <c r="T11" s="10" t="s">
        <v>32</v>
      </c>
      <c r="U11" s="10" t="s">
        <v>33</v>
      </c>
      <c r="V11" s="10" t="s">
        <v>34</v>
      </c>
      <c r="W11" s="10" t="s">
        <v>35</v>
      </c>
      <c r="X11" s="10" t="s">
        <v>36</v>
      </c>
      <c r="Y11" s="10" t="s">
        <v>37</v>
      </c>
    </row>
    <row r="12" customFormat="false" ht="15" hidden="false" customHeight="false" outlineLevel="0" collapsed="false">
      <c r="A12" s="11" t="n">
        <v>1</v>
      </c>
      <c r="B12" s="11" t="s">
        <v>38</v>
      </c>
      <c r="C12" s="11" t="s">
        <v>39</v>
      </c>
      <c r="D12" s="12" t="n">
        <v>46218</v>
      </c>
      <c r="E12" s="8" t="n">
        <f aca="false">IF(D12="","",EDATE(D12,1))</f>
        <v>46249</v>
      </c>
      <c r="F12" s="13" t="n">
        <v>38127.43</v>
      </c>
      <c r="G12" s="6" t="n">
        <v>0</v>
      </c>
      <c r="H12" s="6" t="n">
        <v>0.0899</v>
      </c>
      <c r="I12" s="14" t="n">
        <v>60</v>
      </c>
      <c r="J12" s="15" t="n">
        <f aca="false">IF(F12="","",F12*G12)</f>
        <v>0</v>
      </c>
      <c r="K12" s="15" t="n">
        <f aca="false">IF(F12="","",F12-J12)</f>
        <v>38127.43</v>
      </c>
      <c r="L12" s="15" t="n">
        <f aca="false">IF(OR(K12="",I12=""),"",PMT(H12/12,I12,-K12))</f>
        <v>791.277704179932</v>
      </c>
      <c r="M12" s="15" t="n">
        <f aca="false">IF(F12="","",IF(C12="Dead",0,F12*C5))</f>
        <v>381.2743</v>
      </c>
      <c r="N12" s="15" t="n">
        <f aca="false">IF(F12="","",IF(C12="Dead",0,F12*C6))</f>
        <v>381.2743</v>
      </c>
      <c r="O12" s="15" t="n">
        <f aca="false">IF(OR(F12="",I12=""),"",IF(C12="Dead",0,I12*PMT(C7/12,I12,-F12)-F12))</f>
        <v>486.520907465507</v>
      </c>
      <c r="P12" s="15" t="n">
        <f aca="false">IF(F12="","",IF(C12&lt;&gt;"Closed",0,SUMIF('Referral Fees'!I11:BP11,"&lt;="&amp;Q12,'Referral Fees'!I12:BP12)))</f>
        <v>31.511325241962</v>
      </c>
      <c r="Q12" s="16" t="n">
        <f aca="false">IF(F12="","",IF(C12&lt;&gt;"Closed",0,IF(T12="",0,IF(T12&lt;=0,0,IF(T12&gt;I12,I12,T12)))))</f>
        <v>2</v>
      </c>
      <c r="R12" s="17" t="n">
        <f aca="false">IF(C12&lt;&gt;"Closed","",IF(OR(E12="",I12=""),"",IF(Q12&gt;=I12,"Paid off",EDATE(E12,Q12))))</f>
        <v>46310</v>
      </c>
      <c r="S12" s="16" t="n">
        <f aca="false">IF(OR(F12="",E12=""),"",(YEAR(C8)-YEAR(E12))*12+MONTH(C8)-MONTH(E12))</f>
        <v>2</v>
      </c>
      <c r="T12" s="16" t="n">
        <f aca="false">IF(S12="","",S12+IF(EDATE(E12,S12)&lt;=C8,1,0))</f>
        <v>2</v>
      </c>
      <c r="U12" s="18" t="n">
        <f aca="false">IF(D12="","",DATE(YEAR(D12),MONTH(D12),1))</f>
        <v>46204</v>
      </c>
      <c r="V12" s="15" t="n">
        <f aca="false">IF(F12="","",M12+N12)</f>
        <v>762.5486</v>
      </c>
      <c r="W12" s="15" t="n">
        <f aca="false">IF(C12="Closed",SUM(V12),0)</f>
        <v>762.5486</v>
      </c>
      <c r="X12" s="15" t="n">
        <f aca="false">IF(C12="Pipeline",SUM(V12),0)</f>
        <v>0</v>
      </c>
      <c r="Y12" s="16" t="str">
        <f aca="false">IF(C12="Pipeline",COUNTIF(C12:C12,"Pipeline"),"")</f>
        <v/>
      </c>
    </row>
    <row r="13" customFormat="false" ht="15" hidden="false" customHeight="false" outlineLevel="0" collapsed="false">
      <c r="A13" s="11" t="n">
        <v>2</v>
      </c>
      <c r="B13" s="11" t="s">
        <v>40</v>
      </c>
      <c r="C13" s="11" t="s">
        <v>41</v>
      </c>
      <c r="D13" s="12" t="n">
        <v>46341</v>
      </c>
      <c r="E13" s="8" t="n">
        <f aca="false">IF(D13="","",EDATE(D13,1))</f>
        <v>46371</v>
      </c>
      <c r="F13" s="13" t="n">
        <v>58000</v>
      </c>
      <c r="G13" s="6" t="n">
        <v>0</v>
      </c>
      <c r="H13" s="6" t="n">
        <v>0.0899</v>
      </c>
      <c r="I13" s="14" t="n">
        <v>60</v>
      </c>
      <c r="J13" s="15" t="n">
        <f aca="false">IF(F13="","",F13*G13)</f>
        <v>0</v>
      </c>
      <c r="K13" s="15" t="n">
        <f aca="false">IF(F13="","",F13-J13)</f>
        <v>58000</v>
      </c>
      <c r="L13" s="15" t="n">
        <f aca="false">IF(OR(K13="",I13=""),"",PMT(H13/12,I13,-K13))</f>
        <v>1203.70313032995</v>
      </c>
      <c r="M13" s="15" t="n">
        <f aca="false">IF(F13="","",IF(C13="Dead",0,F13*C5))</f>
        <v>580</v>
      </c>
      <c r="N13" s="15" t="n">
        <f aca="false">IF(F13="","",IF(C13="Dead",0,F13*C6))</f>
        <v>580</v>
      </c>
      <c r="O13" s="15" t="n">
        <f aca="false">IF(OR(F13="",I13=""),"",IF(C13="Dead",0,I13*PMT(C7/12,I13,-F13)-F13))</f>
        <v>740.102667108673</v>
      </c>
      <c r="P13" s="15" t="n">
        <f aca="false">IF(F13="","",IF(C13&lt;&gt;"Closed",0,SUMIF('Referral Fees'!I11:BP11,"&lt;="&amp;Q13,'Referral Fees'!I13:BP13)))</f>
        <v>0</v>
      </c>
      <c r="Q13" s="16" t="n">
        <f aca="false">IF(F13="","",IF(C13&lt;&gt;"Closed",0,IF(T13="",0,IF(T13&lt;=0,0,IF(T13&gt;I13,I13,T13)))))</f>
        <v>0</v>
      </c>
      <c r="R13" s="17" t="str">
        <f aca="false">IF(C13&lt;&gt;"Closed","",IF(OR(E13="",I13=""),"",IF(Q13&gt;=I13,"Paid off",EDATE(E13,Q13))))</f>
        <v/>
      </c>
      <c r="S13" s="16" t="n">
        <f aca="false">IF(OR(F13="",E13=""),"",(YEAR(C8)-YEAR(E13))*12+MONTH(C8)-MONTH(E13))</f>
        <v>-2</v>
      </c>
      <c r="T13" s="16" t="n">
        <f aca="false">IF(S13="","",S13+IF(EDATE(E13,S13)&lt;=C8,1,0))</f>
        <v>-2</v>
      </c>
      <c r="U13" s="18" t="n">
        <f aca="false">IF(D13="","",DATE(YEAR(D13),MONTH(D13),1))</f>
        <v>46327</v>
      </c>
      <c r="V13" s="15" t="n">
        <f aca="false">IF(F13="","",M13+N13)</f>
        <v>1160</v>
      </c>
      <c r="W13" s="15" t="n">
        <f aca="false">IF(C13="Closed",SUM(V13),0)</f>
        <v>0</v>
      </c>
      <c r="X13" s="15" t="n">
        <f aca="false">IF(C13="Pipeline",SUM(V13),0)</f>
        <v>1160</v>
      </c>
      <c r="Y13" s="16" t="n">
        <f aca="false">IF(C13="Pipeline",COUNTIF(C12:C13,"Pipeline"),"")</f>
        <v>1</v>
      </c>
    </row>
    <row r="14" customFormat="false" ht="15" hidden="false" customHeight="false" outlineLevel="0" collapsed="false">
      <c r="A14" s="11" t="n">
        <v>3</v>
      </c>
      <c r="B14" s="11" t="s">
        <v>42</v>
      </c>
      <c r="C14" s="11" t="s">
        <v>41</v>
      </c>
      <c r="D14" s="12" t="n">
        <v>46366</v>
      </c>
      <c r="E14" s="8" t="n">
        <f aca="false">IF(D14="","",EDATE(D14,1))</f>
        <v>46397</v>
      </c>
      <c r="F14" s="13" t="n">
        <v>17500</v>
      </c>
      <c r="G14" s="6" t="n">
        <v>0</v>
      </c>
      <c r="H14" s="6" t="n">
        <v>0.0899</v>
      </c>
      <c r="I14" s="14" t="n">
        <v>60</v>
      </c>
      <c r="J14" s="15" t="n">
        <f aca="false">IF(F14="","",F14*G14)</f>
        <v>0</v>
      </c>
      <c r="K14" s="15" t="n">
        <f aca="false">IF(F14="","",F14-J14)</f>
        <v>17500</v>
      </c>
      <c r="L14" s="15" t="n">
        <f aca="false">IF(OR(K14="",I14=""),"",PMT(H14/12,I14,-K14))</f>
        <v>363.186289323692</v>
      </c>
      <c r="M14" s="15" t="n">
        <f aca="false">IF(F14="","",IF(C14="Dead",0,F14*C5))</f>
        <v>175</v>
      </c>
      <c r="N14" s="15" t="n">
        <f aca="false">IF(F14="","",IF(C14="Dead",0,F14*C6))</f>
        <v>175</v>
      </c>
      <c r="O14" s="15" t="n">
        <f aca="false">IF(OR(F14="",I14=""),"",IF(C14="Dead",0,I14*PMT(C7/12,I14,-F14)-F14))</f>
        <v>223.306839213823</v>
      </c>
      <c r="P14" s="15" t="n">
        <f aca="false">IF(F14="","",IF(C14&lt;&gt;"Closed",0,SUMIF('Referral Fees'!I11:BP11,"&lt;="&amp;Q14,'Referral Fees'!I14:BP14)))</f>
        <v>0</v>
      </c>
      <c r="Q14" s="16" t="n">
        <f aca="false">IF(F14="","",IF(C14&lt;&gt;"Closed",0,IF(T14="",0,IF(T14&lt;=0,0,IF(T14&gt;I14,I14,T14)))))</f>
        <v>0</v>
      </c>
      <c r="R14" s="17" t="str">
        <f aca="false">IF(C14&lt;&gt;"Closed","",IF(OR(E14="",I14=""),"",IF(Q14&gt;=I14,"Paid off",EDATE(E14,Q14))))</f>
        <v/>
      </c>
      <c r="S14" s="16" t="n">
        <f aca="false">IF(OR(F14="",E14=""),"",(YEAR(C8)-YEAR(E14))*12+MONTH(C8)-MONTH(E14))</f>
        <v>-3</v>
      </c>
      <c r="T14" s="16" t="n">
        <f aca="false">IF(S14="","",S14+IF(EDATE(E14,S14)&lt;=C8,1,0))</f>
        <v>-3</v>
      </c>
      <c r="U14" s="18" t="n">
        <f aca="false">IF(D14="","",DATE(YEAR(D14),MONTH(D14),1))</f>
        <v>46357</v>
      </c>
      <c r="V14" s="15" t="n">
        <f aca="false">IF(F14="","",M14+N14)</f>
        <v>350</v>
      </c>
      <c r="W14" s="15" t="n">
        <f aca="false">IF(C14="Closed",SUM(V14),0)</f>
        <v>0</v>
      </c>
      <c r="X14" s="15" t="n">
        <f aca="false">IF(C14="Pipeline",SUM(V14),0)</f>
        <v>350</v>
      </c>
      <c r="Y14" s="16" t="n">
        <f aca="false">IF(C14="Pipeline",COUNTIF(C12:C14,"Pipeline"),"")</f>
        <v>2</v>
      </c>
    </row>
    <row r="15" customFormat="false" ht="15" hidden="false" customHeight="false" outlineLevel="0" collapsed="false">
      <c r="A15" s="11"/>
      <c r="B15" s="11"/>
      <c r="C15" s="11"/>
      <c r="D15" s="12"/>
      <c r="E15" s="8" t="str">
        <f aca="false">IF(D15="","",EDATE(D15,1))</f>
        <v/>
      </c>
      <c r="F15" s="13"/>
      <c r="G15" s="6"/>
      <c r="H15" s="6"/>
      <c r="I15" s="14"/>
      <c r="J15" s="15" t="str">
        <f aca="false">IF(F15="","",F15*G15)</f>
        <v/>
      </c>
      <c r="K15" s="15" t="str">
        <f aca="false">IF(F15="","",F15-J15)</f>
        <v/>
      </c>
      <c r="L15" s="15" t="str">
        <f aca="false">IF(OR(K15="",I15=""),"",PMT(H15/12,I15,-K15))</f>
        <v/>
      </c>
      <c r="M15" s="15" t="str">
        <f aca="false">IF(F15="","",IF(C15="Dead",0,F15*C5))</f>
        <v/>
      </c>
      <c r="N15" s="15" t="str">
        <f aca="false">IF(F15="","",IF(C15="Dead",0,F15*C6))</f>
        <v/>
      </c>
      <c r="O15" s="15" t="str">
        <f aca="false">IF(OR(F15="",I15=""),"",IF(C15="Dead",0,I15*PMT(C7/12,I15,-F15)-F15))</f>
        <v/>
      </c>
      <c r="P15" s="15" t="str">
        <f aca="false">IF(F15="","",IF(C15&lt;&gt;"Closed",0,SUMIF('Referral Fees'!I11:BP11,"&lt;="&amp;Q15,'Referral Fees'!I15:BP15)))</f>
        <v/>
      </c>
      <c r="Q15" s="16" t="str">
        <f aca="false">IF(F15="","",IF(C15&lt;&gt;"Closed",0,IF(T15="",0,IF(T15&lt;=0,0,IF(T15&gt;I15,I15,T15)))))</f>
        <v/>
      </c>
      <c r="R15" s="17" t="str">
        <f aca="false">IF(C15&lt;&gt;"Closed","",IF(OR(E15="",I15=""),"",IF(Q15&gt;=I15,"Paid off",EDATE(E15,Q15))))</f>
        <v/>
      </c>
      <c r="S15" s="16" t="str">
        <f aca="false">IF(OR(F15="",E15=""),"",(YEAR(C8)-YEAR(E15))*12+MONTH(C8)-MONTH(E15))</f>
        <v/>
      </c>
      <c r="T15" s="16" t="str">
        <f aca="false">IF(S15="","",S15+IF(EDATE(E15,S15)&lt;=C8,1,0))</f>
        <v/>
      </c>
      <c r="U15" s="18" t="str">
        <f aca="false">IF(D15="","",DATE(YEAR(D15),MONTH(D15),1))</f>
        <v/>
      </c>
      <c r="V15" s="15" t="str">
        <f aca="false">IF(F15="","",M15+N15)</f>
        <v/>
      </c>
      <c r="W15" s="15" t="n">
        <f aca="false">IF(C15="Closed",SUM(V15),0)</f>
        <v>0</v>
      </c>
      <c r="X15" s="15" t="n">
        <f aca="false">IF(C15="Pipeline",SUM(V15),0)</f>
        <v>0</v>
      </c>
      <c r="Y15" s="16" t="str">
        <f aca="false">IF(C15="Pipeline",COUNTIF(C12:C15,"Pipeline"),"")</f>
        <v/>
      </c>
    </row>
    <row r="16" customFormat="false" ht="15" hidden="false" customHeight="false" outlineLevel="0" collapsed="false">
      <c r="A16" s="11"/>
      <c r="B16" s="11"/>
      <c r="C16" s="11"/>
      <c r="D16" s="12"/>
      <c r="E16" s="8" t="str">
        <f aca="false">IF(D16="","",EDATE(D16,1))</f>
        <v/>
      </c>
      <c r="F16" s="13"/>
      <c r="G16" s="6"/>
      <c r="H16" s="6"/>
      <c r="I16" s="14"/>
      <c r="J16" s="15" t="str">
        <f aca="false">IF(F16="","",F16*G16)</f>
        <v/>
      </c>
      <c r="K16" s="15" t="str">
        <f aca="false">IF(F16="","",F16-J16)</f>
        <v/>
      </c>
      <c r="L16" s="15" t="str">
        <f aca="false">IF(OR(K16="",I16=""),"",PMT(H16/12,I16,-K16))</f>
        <v/>
      </c>
      <c r="M16" s="15" t="str">
        <f aca="false">IF(F16="","",IF(C16="Dead",0,F16*C5))</f>
        <v/>
      </c>
      <c r="N16" s="15" t="str">
        <f aca="false">IF(F16="","",IF(C16="Dead",0,F16*C6))</f>
        <v/>
      </c>
      <c r="O16" s="15" t="str">
        <f aca="false">IF(OR(F16="",I16=""),"",IF(C16="Dead",0,I16*PMT(C7/12,I16,-F16)-F16))</f>
        <v/>
      </c>
      <c r="P16" s="15" t="str">
        <f aca="false">IF(F16="","",IF(C16&lt;&gt;"Closed",0,SUMIF('Referral Fees'!I11:BP11,"&lt;="&amp;Q16,'Referral Fees'!I16:BP16)))</f>
        <v/>
      </c>
      <c r="Q16" s="16" t="str">
        <f aca="false">IF(F16="","",IF(C16&lt;&gt;"Closed",0,IF(T16="",0,IF(T16&lt;=0,0,IF(T16&gt;I16,I16,T16)))))</f>
        <v/>
      </c>
      <c r="R16" s="17" t="str">
        <f aca="false">IF(C16&lt;&gt;"Closed","",IF(OR(E16="",I16=""),"",IF(Q16&gt;=I16,"Paid off",EDATE(E16,Q16))))</f>
        <v/>
      </c>
      <c r="S16" s="16" t="str">
        <f aca="false">IF(OR(F16="",E16=""),"",(YEAR(C8)-YEAR(E16))*12+MONTH(C8)-MONTH(E16))</f>
        <v/>
      </c>
      <c r="T16" s="16" t="str">
        <f aca="false">IF(S16="","",S16+IF(EDATE(E16,S16)&lt;=C8,1,0))</f>
        <v/>
      </c>
      <c r="U16" s="18" t="str">
        <f aca="false">IF(D16="","",DATE(YEAR(D16),MONTH(D16),1))</f>
        <v/>
      </c>
      <c r="V16" s="15" t="str">
        <f aca="false">IF(F16="","",M16+N16)</f>
        <v/>
      </c>
      <c r="W16" s="15" t="n">
        <f aca="false">IF(C16="Closed",SUM(V16),0)</f>
        <v>0</v>
      </c>
      <c r="X16" s="15" t="n">
        <f aca="false">IF(C16="Pipeline",SUM(V16),0)</f>
        <v>0</v>
      </c>
      <c r="Y16" s="16" t="str">
        <f aca="false">IF(C16="Pipeline",COUNTIF(C12:C16,"Pipeline"),"")</f>
        <v/>
      </c>
    </row>
    <row r="17" customFormat="false" ht="15" hidden="false" customHeight="false" outlineLevel="0" collapsed="false">
      <c r="A17" s="11"/>
      <c r="B17" s="11"/>
      <c r="C17" s="11"/>
      <c r="D17" s="12"/>
      <c r="E17" s="8" t="str">
        <f aca="false">IF(D17="","",EDATE(D17,1))</f>
        <v/>
      </c>
      <c r="F17" s="13"/>
      <c r="G17" s="6"/>
      <c r="H17" s="6"/>
      <c r="I17" s="14"/>
      <c r="J17" s="15" t="str">
        <f aca="false">IF(F17="","",F17*G17)</f>
        <v/>
      </c>
      <c r="K17" s="15" t="str">
        <f aca="false">IF(F17="","",F17-J17)</f>
        <v/>
      </c>
      <c r="L17" s="15" t="str">
        <f aca="false">IF(OR(K17="",I17=""),"",PMT(H17/12,I17,-K17))</f>
        <v/>
      </c>
      <c r="M17" s="15" t="str">
        <f aca="false">IF(F17="","",IF(C17="Dead",0,F17*C5))</f>
        <v/>
      </c>
      <c r="N17" s="15" t="str">
        <f aca="false">IF(F17="","",IF(C17="Dead",0,F17*C6))</f>
        <v/>
      </c>
      <c r="O17" s="15" t="str">
        <f aca="false">IF(OR(F17="",I17=""),"",IF(C17="Dead",0,I17*PMT(C7/12,I17,-F17)-F17))</f>
        <v/>
      </c>
      <c r="P17" s="15" t="str">
        <f aca="false">IF(F17="","",IF(C17&lt;&gt;"Closed",0,SUMIF('Referral Fees'!I11:BP11,"&lt;="&amp;Q17,'Referral Fees'!I17:BP17)))</f>
        <v/>
      </c>
      <c r="Q17" s="16" t="str">
        <f aca="false">IF(F17="","",IF(C17&lt;&gt;"Closed",0,IF(T17="",0,IF(T17&lt;=0,0,IF(T17&gt;I17,I17,T17)))))</f>
        <v/>
      </c>
      <c r="R17" s="17" t="str">
        <f aca="false">IF(C17&lt;&gt;"Closed","",IF(OR(E17="",I17=""),"",IF(Q17&gt;=I17,"Paid off",EDATE(E17,Q17))))</f>
        <v/>
      </c>
      <c r="S17" s="16" t="str">
        <f aca="false">IF(OR(F17="",E17=""),"",(YEAR(C8)-YEAR(E17))*12+MONTH(C8)-MONTH(E17))</f>
        <v/>
      </c>
      <c r="T17" s="16" t="str">
        <f aca="false">IF(S17="","",S17+IF(EDATE(E17,S17)&lt;=C8,1,0))</f>
        <v/>
      </c>
      <c r="U17" s="18" t="str">
        <f aca="false">IF(D17="","",DATE(YEAR(D17),MONTH(D17),1))</f>
        <v/>
      </c>
      <c r="V17" s="15" t="str">
        <f aca="false">IF(F17="","",M17+N17)</f>
        <v/>
      </c>
      <c r="W17" s="15" t="n">
        <f aca="false">IF(C17="Closed",SUM(V17),0)</f>
        <v>0</v>
      </c>
      <c r="X17" s="15" t="n">
        <f aca="false">IF(C17="Pipeline",SUM(V17),0)</f>
        <v>0</v>
      </c>
      <c r="Y17" s="16" t="str">
        <f aca="false">IF(C17="Pipeline",COUNTIF(C12:C17,"Pipeline"),"")</f>
        <v/>
      </c>
    </row>
    <row r="18" customFormat="false" ht="15" hidden="false" customHeight="false" outlineLevel="0" collapsed="false">
      <c r="A18" s="11"/>
      <c r="B18" s="11"/>
      <c r="C18" s="11"/>
      <c r="D18" s="12"/>
      <c r="E18" s="8" t="str">
        <f aca="false">IF(D18="","",EDATE(D18,1))</f>
        <v/>
      </c>
      <c r="F18" s="13"/>
      <c r="G18" s="6"/>
      <c r="H18" s="6"/>
      <c r="I18" s="14"/>
      <c r="J18" s="15" t="str">
        <f aca="false">IF(F18="","",F18*G18)</f>
        <v/>
      </c>
      <c r="K18" s="15" t="str">
        <f aca="false">IF(F18="","",F18-J18)</f>
        <v/>
      </c>
      <c r="L18" s="15" t="str">
        <f aca="false">IF(OR(K18="",I18=""),"",PMT(H18/12,I18,-K18))</f>
        <v/>
      </c>
      <c r="M18" s="15" t="str">
        <f aca="false">IF(F18="","",IF(C18="Dead",0,F18*C5))</f>
        <v/>
      </c>
      <c r="N18" s="15" t="str">
        <f aca="false">IF(F18="","",IF(C18="Dead",0,F18*C6))</f>
        <v/>
      </c>
      <c r="O18" s="15" t="str">
        <f aca="false">IF(OR(F18="",I18=""),"",IF(C18="Dead",0,I18*PMT(C7/12,I18,-F18)-F18))</f>
        <v/>
      </c>
      <c r="P18" s="15" t="str">
        <f aca="false">IF(F18="","",IF(C18&lt;&gt;"Closed",0,SUMIF('Referral Fees'!I11:BP11,"&lt;="&amp;Q18,'Referral Fees'!I18:BP18)))</f>
        <v/>
      </c>
      <c r="Q18" s="16" t="str">
        <f aca="false">IF(F18="","",IF(C18&lt;&gt;"Closed",0,IF(T18="",0,IF(T18&lt;=0,0,IF(T18&gt;I18,I18,T18)))))</f>
        <v/>
      </c>
      <c r="R18" s="17" t="str">
        <f aca="false">IF(C18&lt;&gt;"Closed","",IF(OR(E18="",I18=""),"",IF(Q18&gt;=I18,"Paid off",EDATE(E18,Q18))))</f>
        <v/>
      </c>
      <c r="S18" s="16" t="str">
        <f aca="false">IF(OR(F18="",E18=""),"",(YEAR(C8)-YEAR(E18))*12+MONTH(C8)-MONTH(E18))</f>
        <v/>
      </c>
      <c r="T18" s="16" t="str">
        <f aca="false">IF(S18="","",S18+IF(EDATE(E18,S18)&lt;=C8,1,0))</f>
        <v/>
      </c>
      <c r="U18" s="18" t="str">
        <f aca="false">IF(D18="","",DATE(YEAR(D18),MONTH(D18),1))</f>
        <v/>
      </c>
      <c r="V18" s="15" t="str">
        <f aca="false">IF(F18="","",M18+N18)</f>
        <v/>
      </c>
      <c r="W18" s="15" t="n">
        <f aca="false">IF(C18="Closed",SUM(V18),0)</f>
        <v>0</v>
      </c>
      <c r="X18" s="15" t="n">
        <f aca="false">IF(C18="Pipeline",SUM(V18),0)</f>
        <v>0</v>
      </c>
      <c r="Y18" s="16" t="str">
        <f aca="false">IF(C18="Pipeline",COUNTIF(C12:C18,"Pipeline"),"")</f>
        <v/>
      </c>
    </row>
    <row r="19" customFormat="false" ht="15" hidden="false" customHeight="false" outlineLevel="0" collapsed="false">
      <c r="A19" s="11"/>
      <c r="B19" s="11"/>
      <c r="C19" s="11"/>
      <c r="D19" s="12"/>
      <c r="E19" s="8" t="str">
        <f aca="false">IF(D19="","",EDATE(D19,1))</f>
        <v/>
      </c>
      <c r="F19" s="13"/>
      <c r="G19" s="6"/>
      <c r="H19" s="6"/>
      <c r="I19" s="14"/>
      <c r="J19" s="15" t="str">
        <f aca="false">IF(F19="","",F19*G19)</f>
        <v/>
      </c>
      <c r="K19" s="15" t="str">
        <f aca="false">IF(F19="","",F19-J19)</f>
        <v/>
      </c>
      <c r="L19" s="15" t="str">
        <f aca="false">IF(OR(K19="",I19=""),"",PMT(H19/12,I19,-K19))</f>
        <v/>
      </c>
      <c r="M19" s="15" t="str">
        <f aca="false">IF(F19="","",IF(C19="Dead",0,F19*C5))</f>
        <v/>
      </c>
      <c r="N19" s="15" t="str">
        <f aca="false">IF(F19="","",IF(C19="Dead",0,F19*C6))</f>
        <v/>
      </c>
      <c r="O19" s="15" t="str">
        <f aca="false">IF(OR(F19="",I19=""),"",IF(C19="Dead",0,I19*PMT(C7/12,I19,-F19)-F19))</f>
        <v/>
      </c>
      <c r="P19" s="15" t="str">
        <f aca="false">IF(F19="","",IF(C19&lt;&gt;"Closed",0,SUMIF('Referral Fees'!I11:BP11,"&lt;="&amp;Q19,'Referral Fees'!I19:BP19)))</f>
        <v/>
      </c>
      <c r="Q19" s="16" t="str">
        <f aca="false">IF(F19="","",IF(C19&lt;&gt;"Closed",0,IF(T19="",0,IF(T19&lt;=0,0,IF(T19&gt;I19,I19,T19)))))</f>
        <v/>
      </c>
      <c r="R19" s="17" t="str">
        <f aca="false">IF(C19&lt;&gt;"Closed","",IF(OR(E19="",I19=""),"",IF(Q19&gt;=I19,"Paid off",EDATE(E19,Q19))))</f>
        <v/>
      </c>
      <c r="S19" s="16" t="str">
        <f aca="false">IF(OR(F19="",E19=""),"",(YEAR(C8)-YEAR(E19))*12+MONTH(C8)-MONTH(E19))</f>
        <v/>
      </c>
      <c r="T19" s="16" t="str">
        <f aca="false">IF(S19="","",S19+IF(EDATE(E19,S19)&lt;=C8,1,0))</f>
        <v/>
      </c>
      <c r="U19" s="18" t="str">
        <f aca="false">IF(D19="","",DATE(YEAR(D19),MONTH(D19),1))</f>
        <v/>
      </c>
      <c r="V19" s="15" t="str">
        <f aca="false">IF(F19="","",M19+N19)</f>
        <v/>
      </c>
      <c r="W19" s="15" t="n">
        <f aca="false">IF(C19="Closed",SUM(V19),0)</f>
        <v>0</v>
      </c>
      <c r="X19" s="15" t="n">
        <f aca="false">IF(C19="Pipeline",SUM(V19),0)</f>
        <v>0</v>
      </c>
      <c r="Y19" s="16" t="str">
        <f aca="false">IF(C19="Pipeline",COUNTIF(C12:C19,"Pipeline"),"")</f>
        <v/>
      </c>
    </row>
    <row r="20" customFormat="false" ht="15" hidden="false" customHeight="false" outlineLevel="0" collapsed="false">
      <c r="A20" s="11"/>
      <c r="B20" s="11"/>
      <c r="C20" s="11"/>
      <c r="D20" s="12"/>
      <c r="E20" s="8" t="str">
        <f aca="false">IF(D20="","",EDATE(D20,1))</f>
        <v/>
      </c>
      <c r="F20" s="13"/>
      <c r="G20" s="6"/>
      <c r="H20" s="6"/>
      <c r="I20" s="14"/>
      <c r="J20" s="15" t="str">
        <f aca="false">IF(F20="","",F20*G20)</f>
        <v/>
      </c>
      <c r="K20" s="15" t="str">
        <f aca="false">IF(F20="","",F20-J20)</f>
        <v/>
      </c>
      <c r="L20" s="15" t="str">
        <f aca="false">IF(OR(K20="",I20=""),"",PMT(H20/12,I20,-K20))</f>
        <v/>
      </c>
      <c r="M20" s="15" t="str">
        <f aca="false">IF(F20="","",IF(C20="Dead",0,F20*C5))</f>
        <v/>
      </c>
      <c r="N20" s="15" t="str">
        <f aca="false">IF(F20="","",IF(C20="Dead",0,F20*C6))</f>
        <v/>
      </c>
      <c r="O20" s="15" t="str">
        <f aca="false">IF(OR(F20="",I20=""),"",IF(C20="Dead",0,I20*PMT(C7/12,I20,-F20)-F20))</f>
        <v/>
      </c>
      <c r="P20" s="15" t="str">
        <f aca="false">IF(F20="","",IF(C20&lt;&gt;"Closed",0,SUMIF('Referral Fees'!I11:BP11,"&lt;="&amp;Q20,'Referral Fees'!I20:BP20)))</f>
        <v/>
      </c>
      <c r="Q20" s="16" t="str">
        <f aca="false">IF(F20="","",IF(C20&lt;&gt;"Closed",0,IF(T20="",0,IF(T20&lt;=0,0,IF(T20&gt;I20,I20,T20)))))</f>
        <v/>
      </c>
      <c r="R20" s="17" t="str">
        <f aca="false">IF(C20&lt;&gt;"Closed","",IF(OR(E20="",I20=""),"",IF(Q20&gt;=I20,"Paid off",EDATE(E20,Q20))))</f>
        <v/>
      </c>
      <c r="S20" s="16" t="str">
        <f aca="false">IF(OR(F20="",E20=""),"",(YEAR(C8)-YEAR(E20))*12+MONTH(C8)-MONTH(E20))</f>
        <v/>
      </c>
      <c r="T20" s="16" t="str">
        <f aca="false">IF(S20="","",S20+IF(EDATE(E20,S20)&lt;=C8,1,0))</f>
        <v/>
      </c>
      <c r="U20" s="18" t="str">
        <f aca="false">IF(D20="","",DATE(YEAR(D20),MONTH(D20),1))</f>
        <v/>
      </c>
      <c r="V20" s="15" t="str">
        <f aca="false">IF(F20="","",M20+N20)</f>
        <v/>
      </c>
      <c r="W20" s="15" t="n">
        <f aca="false">IF(C20="Closed",SUM(V20),0)</f>
        <v>0</v>
      </c>
      <c r="X20" s="15" t="n">
        <f aca="false">IF(C20="Pipeline",SUM(V20),0)</f>
        <v>0</v>
      </c>
      <c r="Y20" s="16" t="str">
        <f aca="false">IF(C20="Pipeline",COUNTIF(C12:C20,"Pipeline"),"")</f>
        <v/>
      </c>
    </row>
    <row r="21" customFormat="false" ht="15" hidden="false" customHeight="false" outlineLevel="0" collapsed="false">
      <c r="A21" s="11"/>
      <c r="B21" s="11"/>
      <c r="C21" s="11"/>
      <c r="D21" s="12"/>
      <c r="E21" s="8" t="str">
        <f aca="false">IF(D21="","",EDATE(D21,1))</f>
        <v/>
      </c>
      <c r="F21" s="13"/>
      <c r="G21" s="6"/>
      <c r="H21" s="6"/>
      <c r="I21" s="14"/>
      <c r="J21" s="15" t="str">
        <f aca="false">IF(F21="","",F21*G21)</f>
        <v/>
      </c>
      <c r="K21" s="15" t="str">
        <f aca="false">IF(F21="","",F21-J21)</f>
        <v/>
      </c>
      <c r="L21" s="15" t="str">
        <f aca="false">IF(OR(K21="",I21=""),"",PMT(H21/12,I21,-K21))</f>
        <v/>
      </c>
      <c r="M21" s="15" t="str">
        <f aca="false">IF(F21="","",IF(C21="Dead",0,F21*C5))</f>
        <v/>
      </c>
      <c r="N21" s="15" t="str">
        <f aca="false">IF(F21="","",IF(C21="Dead",0,F21*C6))</f>
        <v/>
      </c>
      <c r="O21" s="15" t="str">
        <f aca="false">IF(OR(F21="",I21=""),"",IF(C21="Dead",0,I21*PMT(C7/12,I21,-F21)-F21))</f>
        <v/>
      </c>
      <c r="P21" s="15" t="str">
        <f aca="false">IF(F21="","",IF(C21&lt;&gt;"Closed",0,SUMIF('Referral Fees'!I11:BP11,"&lt;="&amp;Q21,'Referral Fees'!I21:BP21)))</f>
        <v/>
      </c>
      <c r="Q21" s="16" t="str">
        <f aca="false">IF(F21="","",IF(C21&lt;&gt;"Closed",0,IF(T21="",0,IF(T21&lt;=0,0,IF(T21&gt;I21,I21,T21)))))</f>
        <v/>
      </c>
      <c r="R21" s="17" t="str">
        <f aca="false">IF(C21&lt;&gt;"Closed","",IF(OR(E21="",I21=""),"",IF(Q21&gt;=I21,"Paid off",EDATE(E21,Q21))))</f>
        <v/>
      </c>
      <c r="S21" s="16" t="str">
        <f aca="false">IF(OR(F21="",E21=""),"",(YEAR(C8)-YEAR(E21))*12+MONTH(C8)-MONTH(E21))</f>
        <v/>
      </c>
      <c r="T21" s="16" t="str">
        <f aca="false">IF(S21="","",S21+IF(EDATE(E21,S21)&lt;=C8,1,0))</f>
        <v/>
      </c>
      <c r="U21" s="18" t="str">
        <f aca="false">IF(D21="","",DATE(YEAR(D21),MONTH(D21),1))</f>
        <v/>
      </c>
      <c r="V21" s="15" t="str">
        <f aca="false">IF(F21="","",M21+N21)</f>
        <v/>
      </c>
      <c r="W21" s="15" t="n">
        <f aca="false">IF(C21="Closed",SUM(V21),0)</f>
        <v>0</v>
      </c>
      <c r="X21" s="15" t="n">
        <f aca="false">IF(C21="Pipeline",SUM(V21),0)</f>
        <v>0</v>
      </c>
      <c r="Y21" s="16" t="str">
        <f aca="false">IF(C21="Pipeline",COUNTIF(C12:C21,"Pipeline"),"")</f>
        <v/>
      </c>
    </row>
    <row r="22" customFormat="false" ht="15" hidden="false" customHeight="false" outlineLevel="0" collapsed="false">
      <c r="A22" s="11"/>
      <c r="B22" s="11"/>
      <c r="C22" s="11"/>
      <c r="D22" s="12"/>
      <c r="E22" s="8" t="str">
        <f aca="false">IF(D22="","",EDATE(D22,1))</f>
        <v/>
      </c>
      <c r="F22" s="13"/>
      <c r="G22" s="6"/>
      <c r="H22" s="6"/>
      <c r="I22" s="14"/>
      <c r="J22" s="15" t="str">
        <f aca="false">IF(F22="","",F22*G22)</f>
        <v/>
      </c>
      <c r="K22" s="15" t="str">
        <f aca="false">IF(F22="","",F22-J22)</f>
        <v/>
      </c>
      <c r="L22" s="15" t="str">
        <f aca="false">IF(OR(K22="",I22=""),"",PMT(H22/12,I22,-K22))</f>
        <v/>
      </c>
      <c r="M22" s="15" t="str">
        <f aca="false">IF(F22="","",IF(C22="Dead",0,F22*C5))</f>
        <v/>
      </c>
      <c r="N22" s="15" t="str">
        <f aca="false">IF(F22="","",IF(C22="Dead",0,F22*C6))</f>
        <v/>
      </c>
      <c r="O22" s="15" t="str">
        <f aca="false">IF(OR(F22="",I22=""),"",IF(C22="Dead",0,I22*PMT(C7/12,I22,-F22)-F22))</f>
        <v/>
      </c>
      <c r="P22" s="15" t="str">
        <f aca="false">IF(F22="","",IF(C22&lt;&gt;"Closed",0,SUMIF('Referral Fees'!I11:BP11,"&lt;="&amp;Q22,'Referral Fees'!I22:BP22)))</f>
        <v/>
      </c>
      <c r="Q22" s="16" t="str">
        <f aca="false">IF(F22="","",IF(C22&lt;&gt;"Closed",0,IF(T22="",0,IF(T22&lt;=0,0,IF(T22&gt;I22,I22,T22)))))</f>
        <v/>
      </c>
      <c r="R22" s="17" t="str">
        <f aca="false">IF(C22&lt;&gt;"Closed","",IF(OR(E22="",I22=""),"",IF(Q22&gt;=I22,"Paid off",EDATE(E22,Q22))))</f>
        <v/>
      </c>
      <c r="S22" s="16" t="str">
        <f aca="false">IF(OR(F22="",E22=""),"",(YEAR(C8)-YEAR(E22))*12+MONTH(C8)-MONTH(E22))</f>
        <v/>
      </c>
      <c r="T22" s="16" t="str">
        <f aca="false">IF(S22="","",S22+IF(EDATE(E22,S22)&lt;=C8,1,0))</f>
        <v/>
      </c>
      <c r="U22" s="18" t="str">
        <f aca="false">IF(D22="","",DATE(YEAR(D22),MONTH(D22),1))</f>
        <v/>
      </c>
      <c r="V22" s="15" t="str">
        <f aca="false">IF(F22="","",M22+N22)</f>
        <v/>
      </c>
      <c r="W22" s="15" t="n">
        <f aca="false">IF(C22="Closed",SUM(V22),0)</f>
        <v>0</v>
      </c>
      <c r="X22" s="15" t="n">
        <f aca="false">IF(C22="Pipeline",SUM(V22),0)</f>
        <v>0</v>
      </c>
      <c r="Y22" s="16" t="str">
        <f aca="false">IF(C22="Pipeline",COUNTIF(C12:C22,"Pipeline"),"")</f>
        <v/>
      </c>
    </row>
    <row r="23" customFormat="false" ht="15" hidden="false" customHeight="false" outlineLevel="0" collapsed="false">
      <c r="A23" s="11"/>
      <c r="B23" s="11"/>
      <c r="C23" s="11"/>
      <c r="D23" s="12"/>
      <c r="E23" s="8" t="str">
        <f aca="false">IF(D23="","",EDATE(D23,1))</f>
        <v/>
      </c>
      <c r="F23" s="13"/>
      <c r="G23" s="6"/>
      <c r="H23" s="6"/>
      <c r="I23" s="14"/>
      <c r="J23" s="15" t="str">
        <f aca="false">IF(F23="","",F23*G23)</f>
        <v/>
      </c>
      <c r="K23" s="15" t="str">
        <f aca="false">IF(F23="","",F23-J23)</f>
        <v/>
      </c>
      <c r="L23" s="15" t="str">
        <f aca="false">IF(OR(K23="",I23=""),"",PMT(H23/12,I23,-K23))</f>
        <v/>
      </c>
      <c r="M23" s="15" t="str">
        <f aca="false">IF(F23="","",IF(C23="Dead",0,F23*C5))</f>
        <v/>
      </c>
      <c r="N23" s="15" t="str">
        <f aca="false">IF(F23="","",IF(C23="Dead",0,F23*C6))</f>
        <v/>
      </c>
      <c r="O23" s="15" t="str">
        <f aca="false">IF(OR(F23="",I23=""),"",IF(C23="Dead",0,I23*PMT(C7/12,I23,-F23)-F23))</f>
        <v/>
      </c>
      <c r="P23" s="15" t="str">
        <f aca="false">IF(F23="","",IF(C23&lt;&gt;"Closed",0,SUMIF('Referral Fees'!I11:BP11,"&lt;="&amp;Q23,'Referral Fees'!I23:BP23)))</f>
        <v/>
      </c>
      <c r="Q23" s="16" t="str">
        <f aca="false">IF(F23="","",IF(C23&lt;&gt;"Closed",0,IF(T23="",0,IF(T23&lt;=0,0,IF(T23&gt;I23,I23,T23)))))</f>
        <v/>
      </c>
      <c r="R23" s="17" t="str">
        <f aca="false">IF(C23&lt;&gt;"Closed","",IF(OR(E23="",I23=""),"",IF(Q23&gt;=I23,"Paid off",EDATE(E23,Q23))))</f>
        <v/>
      </c>
      <c r="S23" s="16" t="str">
        <f aca="false">IF(OR(F23="",E23=""),"",(YEAR(C8)-YEAR(E23))*12+MONTH(C8)-MONTH(E23))</f>
        <v/>
      </c>
      <c r="T23" s="16" t="str">
        <f aca="false">IF(S23="","",S23+IF(EDATE(E23,S23)&lt;=C8,1,0))</f>
        <v/>
      </c>
      <c r="U23" s="18" t="str">
        <f aca="false">IF(D23="","",DATE(YEAR(D23),MONTH(D23),1))</f>
        <v/>
      </c>
      <c r="V23" s="15" t="str">
        <f aca="false">IF(F23="","",M23+N23)</f>
        <v/>
      </c>
      <c r="W23" s="15" t="n">
        <f aca="false">IF(C23="Closed",SUM(V23),0)</f>
        <v>0</v>
      </c>
      <c r="X23" s="15" t="n">
        <f aca="false">IF(C23="Pipeline",SUM(V23),0)</f>
        <v>0</v>
      </c>
      <c r="Y23" s="16" t="str">
        <f aca="false">IF(C23="Pipeline",COUNTIF(C12:C23,"Pipeline"),"")</f>
        <v/>
      </c>
    </row>
    <row r="24" customFormat="false" ht="15" hidden="false" customHeight="false" outlineLevel="0" collapsed="false">
      <c r="A24" s="11"/>
      <c r="B24" s="11"/>
      <c r="C24" s="11"/>
      <c r="D24" s="12"/>
      <c r="E24" s="8" t="str">
        <f aca="false">IF(D24="","",EDATE(D24,1))</f>
        <v/>
      </c>
      <c r="F24" s="13"/>
      <c r="G24" s="6"/>
      <c r="H24" s="6"/>
      <c r="I24" s="14"/>
      <c r="J24" s="15" t="str">
        <f aca="false">IF(F24="","",F24*G24)</f>
        <v/>
      </c>
      <c r="K24" s="15" t="str">
        <f aca="false">IF(F24="","",F24-J24)</f>
        <v/>
      </c>
      <c r="L24" s="15" t="str">
        <f aca="false">IF(OR(K24="",I24=""),"",PMT(H24/12,I24,-K24))</f>
        <v/>
      </c>
      <c r="M24" s="15" t="str">
        <f aca="false">IF(F24="","",IF(C24="Dead",0,F24*C5))</f>
        <v/>
      </c>
      <c r="N24" s="15" t="str">
        <f aca="false">IF(F24="","",IF(C24="Dead",0,F24*C6))</f>
        <v/>
      </c>
      <c r="O24" s="15" t="str">
        <f aca="false">IF(OR(F24="",I24=""),"",IF(C24="Dead",0,I24*PMT(C7/12,I24,-F24)-F24))</f>
        <v/>
      </c>
      <c r="P24" s="15" t="str">
        <f aca="false">IF(F24="","",IF(C24&lt;&gt;"Closed",0,SUMIF('Referral Fees'!I11:BP11,"&lt;="&amp;Q24,'Referral Fees'!I24:BP24)))</f>
        <v/>
      </c>
      <c r="Q24" s="16" t="str">
        <f aca="false">IF(F24="","",IF(C24&lt;&gt;"Closed",0,IF(T24="",0,IF(T24&lt;=0,0,IF(T24&gt;I24,I24,T24)))))</f>
        <v/>
      </c>
      <c r="R24" s="17" t="str">
        <f aca="false">IF(C24&lt;&gt;"Closed","",IF(OR(E24="",I24=""),"",IF(Q24&gt;=I24,"Paid off",EDATE(E24,Q24))))</f>
        <v/>
      </c>
      <c r="S24" s="16" t="str">
        <f aca="false">IF(OR(F24="",E24=""),"",(YEAR(C8)-YEAR(E24))*12+MONTH(C8)-MONTH(E24))</f>
        <v/>
      </c>
      <c r="T24" s="16" t="str">
        <f aca="false">IF(S24="","",S24+IF(EDATE(E24,S24)&lt;=C8,1,0))</f>
        <v/>
      </c>
      <c r="U24" s="18" t="str">
        <f aca="false">IF(D24="","",DATE(YEAR(D24),MONTH(D24),1))</f>
        <v/>
      </c>
      <c r="V24" s="15" t="str">
        <f aca="false">IF(F24="","",M24+N24)</f>
        <v/>
      </c>
      <c r="W24" s="15" t="n">
        <f aca="false">IF(C24="Closed",SUM(V24),0)</f>
        <v>0</v>
      </c>
      <c r="X24" s="15" t="n">
        <f aca="false">IF(C24="Pipeline",SUM(V24),0)</f>
        <v>0</v>
      </c>
      <c r="Y24" s="16" t="str">
        <f aca="false">IF(C24="Pipeline",COUNTIF(C12:C24,"Pipeline"),"")</f>
        <v/>
      </c>
    </row>
    <row r="25" customFormat="false" ht="15" hidden="false" customHeight="false" outlineLevel="0" collapsed="false">
      <c r="A25" s="11"/>
      <c r="B25" s="11"/>
      <c r="C25" s="11"/>
      <c r="D25" s="12"/>
      <c r="E25" s="8" t="str">
        <f aca="false">IF(D25="","",EDATE(D25,1))</f>
        <v/>
      </c>
      <c r="F25" s="13"/>
      <c r="G25" s="6"/>
      <c r="H25" s="6"/>
      <c r="I25" s="14"/>
      <c r="J25" s="15" t="str">
        <f aca="false">IF(F25="","",F25*G25)</f>
        <v/>
      </c>
      <c r="K25" s="15" t="str">
        <f aca="false">IF(F25="","",F25-J25)</f>
        <v/>
      </c>
      <c r="L25" s="15" t="str">
        <f aca="false">IF(OR(K25="",I25=""),"",PMT(H25/12,I25,-K25))</f>
        <v/>
      </c>
      <c r="M25" s="15" t="str">
        <f aca="false">IF(F25="","",IF(C25="Dead",0,F25*C5))</f>
        <v/>
      </c>
      <c r="N25" s="15" t="str">
        <f aca="false">IF(F25="","",IF(C25="Dead",0,F25*C6))</f>
        <v/>
      </c>
      <c r="O25" s="15" t="str">
        <f aca="false">IF(OR(F25="",I25=""),"",IF(C25="Dead",0,I25*PMT(C7/12,I25,-F25)-F25))</f>
        <v/>
      </c>
      <c r="P25" s="15" t="str">
        <f aca="false">IF(F25="","",IF(C25&lt;&gt;"Closed",0,SUMIF('Referral Fees'!I11:BP11,"&lt;="&amp;Q25,'Referral Fees'!I25:BP25)))</f>
        <v/>
      </c>
      <c r="Q25" s="16" t="str">
        <f aca="false">IF(F25="","",IF(C25&lt;&gt;"Closed",0,IF(T25="",0,IF(T25&lt;=0,0,IF(T25&gt;I25,I25,T25)))))</f>
        <v/>
      </c>
      <c r="R25" s="17" t="str">
        <f aca="false">IF(C25&lt;&gt;"Closed","",IF(OR(E25="",I25=""),"",IF(Q25&gt;=I25,"Paid off",EDATE(E25,Q25))))</f>
        <v/>
      </c>
      <c r="S25" s="16" t="str">
        <f aca="false">IF(OR(F25="",E25=""),"",(YEAR(C8)-YEAR(E25))*12+MONTH(C8)-MONTH(E25))</f>
        <v/>
      </c>
      <c r="T25" s="16" t="str">
        <f aca="false">IF(S25="","",S25+IF(EDATE(E25,S25)&lt;=C8,1,0))</f>
        <v/>
      </c>
      <c r="U25" s="18" t="str">
        <f aca="false">IF(D25="","",DATE(YEAR(D25),MONTH(D25),1))</f>
        <v/>
      </c>
      <c r="V25" s="15" t="str">
        <f aca="false">IF(F25="","",M25+N25)</f>
        <v/>
      </c>
      <c r="W25" s="15" t="n">
        <f aca="false">IF(C25="Closed",SUM(V25),0)</f>
        <v>0</v>
      </c>
      <c r="X25" s="15" t="n">
        <f aca="false">IF(C25="Pipeline",SUM(V25),0)</f>
        <v>0</v>
      </c>
      <c r="Y25" s="16" t="str">
        <f aca="false">IF(C25="Pipeline",COUNTIF(C12:C25,"Pipeline"),"")</f>
        <v/>
      </c>
    </row>
    <row r="26" customFormat="false" ht="15" hidden="false" customHeight="false" outlineLevel="0" collapsed="false">
      <c r="A26" s="11"/>
      <c r="B26" s="11"/>
      <c r="C26" s="11"/>
      <c r="D26" s="12"/>
      <c r="E26" s="8" t="str">
        <f aca="false">IF(D26="","",EDATE(D26,1))</f>
        <v/>
      </c>
      <c r="F26" s="13"/>
      <c r="G26" s="6"/>
      <c r="H26" s="6"/>
      <c r="I26" s="14"/>
      <c r="J26" s="15" t="str">
        <f aca="false">IF(F26="","",F26*G26)</f>
        <v/>
      </c>
      <c r="K26" s="15" t="str">
        <f aca="false">IF(F26="","",F26-J26)</f>
        <v/>
      </c>
      <c r="L26" s="15" t="str">
        <f aca="false">IF(OR(K26="",I26=""),"",PMT(H26/12,I26,-K26))</f>
        <v/>
      </c>
      <c r="M26" s="15" t="str">
        <f aca="false">IF(F26="","",IF(C26="Dead",0,F26*C5))</f>
        <v/>
      </c>
      <c r="N26" s="15" t="str">
        <f aca="false">IF(F26="","",IF(C26="Dead",0,F26*C6))</f>
        <v/>
      </c>
      <c r="O26" s="15" t="str">
        <f aca="false">IF(OR(F26="",I26=""),"",IF(C26="Dead",0,I26*PMT(C7/12,I26,-F26)-F26))</f>
        <v/>
      </c>
      <c r="P26" s="15" t="str">
        <f aca="false">IF(F26="","",IF(C26&lt;&gt;"Closed",0,SUMIF('Referral Fees'!I11:BP11,"&lt;="&amp;Q26,'Referral Fees'!I26:BP26)))</f>
        <v/>
      </c>
      <c r="Q26" s="16" t="str">
        <f aca="false">IF(F26="","",IF(C26&lt;&gt;"Closed",0,IF(T26="",0,IF(T26&lt;=0,0,IF(T26&gt;I26,I26,T26)))))</f>
        <v/>
      </c>
      <c r="R26" s="17" t="str">
        <f aca="false">IF(C26&lt;&gt;"Closed","",IF(OR(E26="",I26=""),"",IF(Q26&gt;=I26,"Paid off",EDATE(E26,Q26))))</f>
        <v/>
      </c>
      <c r="S26" s="16" t="str">
        <f aca="false">IF(OR(F26="",E26=""),"",(YEAR(C8)-YEAR(E26))*12+MONTH(C8)-MONTH(E26))</f>
        <v/>
      </c>
      <c r="T26" s="16" t="str">
        <f aca="false">IF(S26="","",S26+IF(EDATE(E26,S26)&lt;=C8,1,0))</f>
        <v/>
      </c>
      <c r="U26" s="18" t="str">
        <f aca="false">IF(D26="","",DATE(YEAR(D26),MONTH(D26),1))</f>
        <v/>
      </c>
      <c r="V26" s="15" t="str">
        <f aca="false">IF(F26="","",M26+N26)</f>
        <v/>
      </c>
      <c r="W26" s="15" t="n">
        <f aca="false">IF(C26="Closed",SUM(V26),0)</f>
        <v>0</v>
      </c>
      <c r="X26" s="15" t="n">
        <f aca="false">IF(C26="Pipeline",SUM(V26),0)</f>
        <v>0</v>
      </c>
      <c r="Y26" s="16" t="str">
        <f aca="false">IF(C26="Pipeline",COUNTIF(C12:C26,"Pipeline"),"")</f>
        <v/>
      </c>
    </row>
    <row r="27" customFormat="false" ht="15" hidden="false" customHeight="false" outlineLevel="0" collapsed="false">
      <c r="A27" s="11"/>
      <c r="B27" s="11"/>
      <c r="C27" s="11"/>
      <c r="D27" s="12"/>
      <c r="E27" s="8" t="str">
        <f aca="false">IF(D27="","",EDATE(D27,1))</f>
        <v/>
      </c>
      <c r="F27" s="13"/>
      <c r="G27" s="6"/>
      <c r="H27" s="6"/>
      <c r="I27" s="14"/>
      <c r="J27" s="15" t="str">
        <f aca="false">IF(F27="","",F27*G27)</f>
        <v/>
      </c>
      <c r="K27" s="15" t="str">
        <f aca="false">IF(F27="","",F27-J27)</f>
        <v/>
      </c>
      <c r="L27" s="15" t="str">
        <f aca="false">IF(OR(K27="",I27=""),"",PMT(H27/12,I27,-K27))</f>
        <v/>
      </c>
      <c r="M27" s="15" t="str">
        <f aca="false">IF(F27="","",IF(C27="Dead",0,F27*C5))</f>
        <v/>
      </c>
      <c r="N27" s="15" t="str">
        <f aca="false">IF(F27="","",IF(C27="Dead",0,F27*C6))</f>
        <v/>
      </c>
      <c r="O27" s="15" t="str">
        <f aca="false">IF(OR(F27="",I27=""),"",IF(C27="Dead",0,I27*PMT(C7/12,I27,-F27)-F27))</f>
        <v/>
      </c>
      <c r="P27" s="15" t="str">
        <f aca="false">IF(F27="","",IF(C27&lt;&gt;"Closed",0,SUMIF('Referral Fees'!I11:BP11,"&lt;="&amp;Q27,'Referral Fees'!I27:BP27)))</f>
        <v/>
      </c>
      <c r="Q27" s="16" t="str">
        <f aca="false">IF(F27="","",IF(C27&lt;&gt;"Closed",0,IF(T27="",0,IF(T27&lt;=0,0,IF(T27&gt;I27,I27,T27)))))</f>
        <v/>
      </c>
      <c r="R27" s="17" t="str">
        <f aca="false">IF(C27&lt;&gt;"Closed","",IF(OR(E27="",I27=""),"",IF(Q27&gt;=I27,"Paid off",EDATE(E27,Q27))))</f>
        <v/>
      </c>
      <c r="S27" s="16" t="str">
        <f aca="false">IF(OR(F27="",E27=""),"",(YEAR(C8)-YEAR(E27))*12+MONTH(C8)-MONTH(E27))</f>
        <v/>
      </c>
      <c r="T27" s="16" t="str">
        <f aca="false">IF(S27="","",S27+IF(EDATE(E27,S27)&lt;=C8,1,0))</f>
        <v/>
      </c>
      <c r="U27" s="18" t="str">
        <f aca="false">IF(D27="","",DATE(YEAR(D27),MONTH(D27),1))</f>
        <v/>
      </c>
      <c r="V27" s="15" t="str">
        <f aca="false">IF(F27="","",M27+N27)</f>
        <v/>
      </c>
      <c r="W27" s="15" t="n">
        <f aca="false">IF(C27="Closed",SUM(V27),0)</f>
        <v>0</v>
      </c>
      <c r="X27" s="15" t="n">
        <f aca="false">IF(C27="Pipeline",SUM(V27),0)</f>
        <v>0</v>
      </c>
      <c r="Y27" s="16" t="str">
        <f aca="false">IF(C27="Pipeline",COUNTIF(C12:C27,"Pipeline"),"")</f>
        <v/>
      </c>
    </row>
    <row r="28" customFormat="false" ht="15" hidden="false" customHeight="false" outlineLevel="0" collapsed="false">
      <c r="A28" s="11"/>
      <c r="B28" s="11"/>
      <c r="C28" s="11"/>
      <c r="D28" s="12"/>
      <c r="E28" s="8" t="str">
        <f aca="false">IF(D28="","",EDATE(D28,1))</f>
        <v/>
      </c>
      <c r="F28" s="13"/>
      <c r="G28" s="6"/>
      <c r="H28" s="6"/>
      <c r="I28" s="14"/>
      <c r="J28" s="15" t="str">
        <f aca="false">IF(F28="","",F28*G28)</f>
        <v/>
      </c>
      <c r="K28" s="15" t="str">
        <f aca="false">IF(F28="","",F28-J28)</f>
        <v/>
      </c>
      <c r="L28" s="15" t="str">
        <f aca="false">IF(OR(K28="",I28=""),"",PMT(H28/12,I28,-K28))</f>
        <v/>
      </c>
      <c r="M28" s="15" t="str">
        <f aca="false">IF(F28="","",IF(C28="Dead",0,F28*C5))</f>
        <v/>
      </c>
      <c r="N28" s="15" t="str">
        <f aca="false">IF(F28="","",IF(C28="Dead",0,F28*C6))</f>
        <v/>
      </c>
      <c r="O28" s="15" t="str">
        <f aca="false">IF(OR(F28="",I28=""),"",IF(C28="Dead",0,I28*PMT(C7/12,I28,-F28)-F28))</f>
        <v/>
      </c>
      <c r="P28" s="15" t="str">
        <f aca="false">IF(F28="","",IF(C28&lt;&gt;"Closed",0,SUMIF('Referral Fees'!I11:BP11,"&lt;="&amp;Q28,'Referral Fees'!I28:BP28)))</f>
        <v/>
      </c>
      <c r="Q28" s="16" t="str">
        <f aca="false">IF(F28="","",IF(C28&lt;&gt;"Closed",0,IF(T28="",0,IF(T28&lt;=0,0,IF(T28&gt;I28,I28,T28)))))</f>
        <v/>
      </c>
      <c r="R28" s="17" t="str">
        <f aca="false">IF(C28&lt;&gt;"Closed","",IF(OR(E28="",I28=""),"",IF(Q28&gt;=I28,"Paid off",EDATE(E28,Q28))))</f>
        <v/>
      </c>
      <c r="S28" s="16" t="str">
        <f aca="false">IF(OR(F28="",E28=""),"",(YEAR(C8)-YEAR(E28))*12+MONTH(C8)-MONTH(E28))</f>
        <v/>
      </c>
      <c r="T28" s="16" t="str">
        <f aca="false">IF(S28="","",S28+IF(EDATE(E28,S28)&lt;=C8,1,0))</f>
        <v/>
      </c>
      <c r="U28" s="18" t="str">
        <f aca="false">IF(D28="","",DATE(YEAR(D28),MONTH(D28),1))</f>
        <v/>
      </c>
      <c r="V28" s="15" t="str">
        <f aca="false">IF(F28="","",M28+N28)</f>
        <v/>
      </c>
      <c r="W28" s="15" t="n">
        <f aca="false">IF(C28="Closed",SUM(V28),0)</f>
        <v>0</v>
      </c>
      <c r="X28" s="15" t="n">
        <f aca="false">IF(C28="Pipeline",SUM(V28),0)</f>
        <v>0</v>
      </c>
      <c r="Y28" s="16" t="str">
        <f aca="false">IF(C28="Pipeline",COUNTIF(C12:C28,"Pipeline"),"")</f>
        <v/>
      </c>
    </row>
    <row r="29" customFormat="false" ht="15" hidden="false" customHeight="false" outlineLevel="0" collapsed="false">
      <c r="A29" s="11"/>
      <c r="B29" s="11"/>
      <c r="C29" s="11"/>
      <c r="D29" s="12"/>
      <c r="E29" s="8" t="str">
        <f aca="false">IF(D29="","",EDATE(D29,1))</f>
        <v/>
      </c>
      <c r="F29" s="13"/>
      <c r="G29" s="6"/>
      <c r="H29" s="6"/>
      <c r="I29" s="14"/>
      <c r="J29" s="15" t="str">
        <f aca="false">IF(F29="","",F29*G29)</f>
        <v/>
      </c>
      <c r="K29" s="15" t="str">
        <f aca="false">IF(F29="","",F29-J29)</f>
        <v/>
      </c>
      <c r="L29" s="15" t="str">
        <f aca="false">IF(OR(K29="",I29=""),"",PMT(H29/12,I29,-K29))</f>
        <v/>
      </c>
      <c r="M29" s="15" t="str">
        <f aca="false">IF(F29="","",IF(C29="Dead",0,F29*C5))</f>
        <v/>
      </c>
      <c r="N29" s="15" t="str">
        <f aca="false">IF(F29="","",IF(C29="Dead",0,F29*C6))</f>
        <v/>
      </c>
      <c r="O29" s="15" t="str">
        <f aca="false">IF(OR(F29="",I29=""),"",IF(C29="Dead",0,I29*PMT(C7/12,I29,-F29)-F29))</f>
        <v/>
      </c>
      <c r="P29" s="15" t="str">
        <f aca="false">IF(F29="","",IF(C29&lt;&gt;"Closed",0,SUMIF('Referral Fees'!I11:BP11,"&lt;="&amp;Q29,'Referral Fees'!I29:BP29)))</f>
        <v/>
      </c>
      <c r="Q29" s="16" t="str">
        <f aca="false">IF(F29="","",IF(C29&lt;&gt;"Closed",0,IF(T29="",0,IF(T29&lt;=0,0,IF(T29&gt;I29,I29,T29)))))</f>
        <v/>
      </c>
      <c r="R29" s="17" t="str">
        <f aca="false">IF(C29&lt;&gt;"Closed","",IF(OR(E29="",I29=""),"",IF(Q29&gt;=I29,"Paid off",EDATE(E29,Q29))))</f>
        <v/>
      </c>
      <c r="S29" s="16" t="str">
        <f aca="false">IF(OR(F29="",E29=""),"",(YEAR(C8)-YEAR(E29))*12+MONTH(C8)-MONTH(E29))</f>
        <v/>
      </c>
      <c r="T29" s="16" t="str">
        <f aca="false">IF(S29="","",S29+IF(EDATE(E29,S29)&lt;=C8,1,0))</f>
        <v/>
      </c>
      <c r="U29" s="18" t="str">
        <f aca="false">IF(D29="","",DATE(YEAR(D29),MONTH(D29),1))</f>
        <v/>
      </c>
      <c r="V29" s="15" t="str">
        <f aca="false">IF(F29="","",M29+N29)</f>
        <v/>
      </c>
      <c r="W29" s="15" t="n">
        <f aca="false">IF(C29="Closed",SUM(V29),0)</f>
        <v>0</v>
      </c>
      <c r="X29" s="15" t="n">
        <f aca="false">IF(C29="Pipeline",SUM(V29),0)</f>
        <v>0</v>
      </c>
      <c r="Y29" s="16" t="str">
        <f aca="false">IF(C29="Pipeline",COUNTIF(C12:C29,"Pipeline"),"")</f>
        <v/>
      </c>
    </row>
    <row r="30" customFormat="false" ht="15" hidden="false" customHeight="false" outlineLevel="0" collapsed="false">
      <c r="A30" s="11"/>
      <c r="B30" s="11"/>
      <c r="C30" s="11"/>
      <c r="D30" s="12"/>
      <c r="E30" s="8" t="str">
        <f aca="false">IF(D30="","",EDATE(D30,1))</f>
        <v/>
      </c>
      <c r="F30" s="13"/>
      <c r="G30" s="6"/>
      <c r="H30" s="6"/>
      <c r="I30" s="14"/>
      <c r="J30" s="15" t="str">
        <f aca="false">IF(F30="","",F30*G30)</f>
        <v/>
      </c>
      <c r="K30" s="15" t="str">
        <f aca="false">IF(F30="","",F30-J30)</f>
        <v/>
      </c>
      <c r="L30" s="15" t="str">
        <f aca="false">IF(OR(K30="",I30=""),"",PMT(H30/12,I30,-K30))</f>
        <v/>
      </c>
      <c r="M30" s="15" t="str">
        <f aca="false">IF(F30="","",IF(C30="Dead",0,F30*C5))</f>
        <v/>
      </c>
      <c r="N30" s="15" t="str">
        <f aca="false">IF(F30="","",IF(C30="Dead",0,F30*C6))</f>
        <v/>
      </c>
      <c r="O30" s="15" t="str">
        <f aca="false">IF(OR(F30="",I30=""),"",IF(C30="Dead",0,I30*PMT(C7/12,I30,-F30)-F30))</f>
        <v/>
      </c>
      <c r="P30" s="15" t="str">
        <f aca="false">IF(F30="","",IF(C30&lt;&gt;"Closed",0,SUMIF('Referral Fees'!I11:BP11,"&lt;="&amp;Q30,'Referral Fees'!I30:BP30)))</f>
        <v/>
      </c>
      <c r="Q30" s="16" t="str">
        <f aca="false">IF(F30="","",IF(C30&lt;&gt;"Closed",0,IF(T30="",0,IF(T30&lt;=0,0,IF(T30&gt;I30,I30,T30)))))</f>
        <v/>
      </c>
      <c r="R30" s="17" t="str">
        <f aca="false">IF(C30&lt;&gt;"Closed","",IF(OR(E30="",I30=""),"",IF(Q30&gt;=I30,"Paid off",EDATE(E30,Q30))))</f>
        <v/>
      </c>
      <c r="S30" s="16" t="str">
        <f aca="false">IF(OR(F30="",E30=""),"",(YEAR(C8)-YEAR(E30))*12+MONTH(C8)-MONTH(E30))</f>
        <v/>
      </c>
      <c r="T30" s="16" t="str">
        <f aca="false">IF(S30="","",S30+IF(EDATE(E30,S30)&lt;=C8,1,0))</f>
        <v/>
      </c>
      <c r="U30" s="18" t="str">
        <f aca="false">IF(D30="","",DATE(YEAR(D30),MONTH(D30),1))</f>
        <v/>
      </c>
      <c r="V30" s="15" t="str">
        <f aca="false">IF(F30="","",M30+N30)</f>
        <v/>
      </c>
      <c r="W30" s="15" t="n">
        <f aca="false">IF(C30="Closed",SUM(V30),0)</f>
        <v>0</v>
      </c>
      <c r="X30" s="15" t="n">
        <f aca="false">IF(C30="Pipeline",SUM(V30),0)</f>
        <v>0</v>
      </c>
      <c r="Y30" s="16" t="str">
        <f aca="false">IF(C30="Pipeline",COUNTIF(C12:C30,"Pipeline"),"")</f>
        <v/>
      </c>
    </row>
    <row r="31" customFormat="false" ht="15" hidden="false" customHeight="false" outlineLevel="0" collapsed="false">
      <c r="A31" s="11"/>
      <c r="B31" s="11"/>
      <c r="C31" s="11"/>
      <c r="D31" s="12"/>
      <c r="E31" s="8" t="str">
        <f aca="false">IF(D31="","",EDATE(D31,1))</f>
        <v/>
      </c>
      <c r="F31" s="13"/>
      <c r="G31" s="6"/>
      <c r="H31" s="6"/>
      <c r="I31" s="14"/>
      <c r="J31" s="15" t="str">
        <f aca="false">IF(F31="","",F31*G31)</f>
        <v/>
      </c>
      <c r="K31" s="15" t="str">
        <f aca="false">IF(F31="","",F31-J31)</f>
        <v/>
      </c>
      <c r="L31" s="15" t="str">
        <f aca="false">IF(OR(K31="",I31=""),"",PMT(H31/12,I31,-K31))</f>
        <v/>
      </c>
      <c r="M31" s="15" t="str">
        <f aca="false">IF(F31="","",IF(C31="Dead",0,F31*C5))</f>
        <v/>
      </c>
      <c r="N31" s="15" t="str">
        <f aca="false">IF(F31="","",IF(C31="Dead",0,F31*C6))</f>
        <v/>
      </c>
      <c r="O31" s="15" t="str">
        <f aca="false">IF(OR(F31="",I31=""),"",IF(C31="Dead",0,I31*PMT(C7/12,I31,-F31)-F31))</f>
        <v/>
      </c>
      <c r="P31" s="15" t="str">
        <f aca="false">IF(F31="","",IF(C31&lt;&gt;"Closed",0,SUMIF('Referral Fees'!I11:BP11,"&lt;="&amp;Q31,'Referral Fees'!I31:BP31)))</f>
        <v/>
      </c>
      <c r="Q31" s="16" t="str">
        <f aca="false">IF(F31="","",IF(C31&lt;&gt;"Closed",0,IF(T31="",0,IF(T31&lt;=0,0,IF(T31&gt;I31,I31,T31)))))</f>
        <v/>
      </c>
      <c r="R31" s="17" t="str">
        <f aca="false">IF(C31&lt;&gt;"Closed","",IF(OR(E31="",I31=""),"",IF(Q31&gt;=I31,"Paid off",EDATE(E31,Q31))))</f>
        <v/>
      </c>
      <c r="S31" s="16" t="str">
        <f aca="false">IF(OR(F31="",E31=""),"",(YEAR(C8)-YEAR(E31))*12+MONTH(C8)-MONTH(E31))</f>
        <v/>
      </c>
      <c r="T31" s="16" t="str">
        <f aca="false">IF(S31="","",S31+IF(EDATE(E31,S31)&lt;=C8,1,0))</f>
        <v/>
      </c>
      <c r="U31" s="18" t="str">
        <f aca="false">IF(D31="","",DATE(YEAR(D31),MONTH(D31),1))</f>
        <v/>
      </c>
      <c r="V31" s="15" t="str">
        <f aca="false">IF(F31="","",M31+N31)</f>
        <v/>
      </c>
      <c r="W31" s="15" t="n">
        <f aca="false">IF(C31="Closed",SUM(V31),0)</f>
        <v>0</v>
      </c>
      <c r="X31" s="15" t="n">
        <f aca="false">IF(C31="Pipeline",SUM(V31),0)</f>
        <v>0</v>
      </c>
      <c r="Y31" s="16" t="str">
        <f aca="false">IF(C31="Pipeline",COUNTIF(C12:C31,"Pipeline"),"")</f>
        <v/>
      </c>
    </row>
    <row r="32" customFormat="false" ht="15" hidden="false" customHeight="false" outlineLevel="0" collapsed="false">
      <c r="A32" s="11"/>
      <c r="B32" s="11"/>
      <c r="C32" s="11"/>
      <c r="D32" s="12"/>
      <c r="E32" s="8" t="str">
        <f aca="false">IF(D32="","",EDATE(D32,1))</f>
        <v/>
      </c>
      <c r="F32" s="13"/>
      <c r="G32" s="6"/>
      <c r="H32" s="6"/>
      <c r="I32" s="14"/>
      <c r="J32" s="15" t="str">
        <f aca="false">IF(F32="","",F32*G32)</f>
        <v/>
      </c>
      <c r="K32" s="15" t="str">
        <f aca="false">IF(F32="","",F32-J32)</f>
        <v/>
      </c>
      <c r="L32" s="15" t="str">
        <f aca="false">IF(OR(K32="",I32=""),"",PMT(H32/12,I32,-K32))</f>
        <v/>
      </c>
      <c r="M32" s="15" t="str">
        <f aca="false">IF(F32="","",IF(C32="Dead",0,F32*C5))</f>
        <v/>
      </c>
      <c r="N32" s="15" t="str">
        <f aca="false">IF(F32="","",IF(C32="Dead",0,F32*C6))</f>
        <v/>
      </c>
      <c r="O32" s="15" t="str">
        <f aca="false">IF(OR(F32="",I32=""),"",IF(C32="Dead",0,I32*PMT(C7/12,I32,-F32)-F32))</f>
        <v/>
      </c>
      <c r="P32" s="15" t="str">
        <f aca="false">IF(F32="","",IF(C32&lt;&gt;"Closed",0,SUMIF('Referral Fees'!I11:BP11,"&lt;="&amp;Q32,'Referral Fees'!I32:BP32)))</f>
        <v/>
      </c>
      <c r="Q32" s="16" t="str">
        <f aca="false">IF(F32="","",IF(C32&lt;&gt;"Closed",0,IF(T32="",0,IF(T32&lt;=0,0,IF(T32&gt;I32,I32,T32)))))</f>
        <v/>
      </c>
      <c r="R32" s="17" t="str">
        <f aca="false">IF(C32&lt;&gt;"Closed","",IF(OR(E32="",I32=""),"",IF(Q32&gt;=I32,"Paid off",EDATE(E32,Q32))))</f>
        <v/>
      </c>
      <c r="S32" s="16" t="str">
        <f aca="false">IF(OR(F32="",E32=""),"",(YEAR(C8)-YEAR(E32))*12+MONTH(C8)-MONTH(E32))</f>
        <v/>
      </c>
      <c r="T32" s="16" t="str">
        <f aca="false">IF(S32="","",S32+IF(EDATE(E32,S32)&lt;=C8,1,0))</f>
        <v/>
      </c>
      <c r="U32" s="18" t="str">
        <f aca="false">IF(D32="","",DATE(YEAR(D32),MONTH(D32),1))</f>
        <v/>
      </c>
      <c r="V32" s="15" t="str">
        <f aca="false">IF(F32="","",M32+N32)</f>
        <v/>
      </c>
      <c r="W32" s="15" t="n">
        <f aca="false">IF(C32="Closed",SUM(V32),0)</f>
        <v>0</v>
      </c>
      <c r="X32" s="15" t="n">
        <f aca="false">IF(C32="Pipeline",SUM(V32),0)</f>
        <v>0</v>
      </c>
      <c r="Y32" s="16" t="str">
        <f aca="false">IF(C32="Pipeline",COUNTIF(C12:C32,"Pipeline"),"")</f>
        <v/>
      </c>
    </row>
    <row r="33" customFormat="false" ht="15" hidden="false" customHeight="false" outlineLevel="0" collapsed="false">
      <c r="A33" s="11"/>
      <c r="B33" s="11"/>
      <c r="C33" s="11"/>
      <c r="D33" s="12"/>
      <c r="E33" s="8" t="str">
        <f aca="false">IF(D33="","",EDATE(D33,1))</f>
        <v/>
      </c>
      <c r="F33" s="13"/>
      <c r="G33" s="6"/>
      <c r="H33" s="6"/>
      <c r="I33" s="14"/>
      <c r="J33" s="15" t="str">
        <f aca="false">IF(F33="","",F33*G33)</f>
        <v/>
      </c>
      <c r="K33" s="15" t="str">
        <f aca="false">IF(F33="","",F33-J33)</f>
        <v/>
      </c>
      <c r="L33" s="15" t="str">
        <f aca="false">IF(OR(K33="",I33=""),"",PMT(H33/12,I33,-K33))</f>
        <v/>
      </c>
      <c r="M33" s="15" t="str">
        <f aca="false">IF(F33="","",IF(C33="Dead",0,F33*C5))</f>
        <v/>
      </c>
      <c r="N33" s="15" t="str">
        <f aca="false">IF(F33="","",IF(C33="Dead",0,F33*C6))</f>
        <v/>
      </c>
      <c r="O33" s="15" t="str">
        <f aca="false">IF(OR(F33="",I33=""),"",IF(C33="Dead",0,I33*PMT(C7/12,I33,-F33)-F33))</f>
        <v/>
      </c>
      <c r="P33" s="15" t="str">
        <f aca="false">IF(F33="","",IF(C33&lt;&gt;"Closed",0,SUMIF('Referral Fees'!I11:BP11,"&lt;="&amp;Q33,'Referral Fees'!I33:BP33)))</f>
        <v/>
      </c>
      <c r="Q33" s="16" t="str">
        <f aca="false">IF(F33="","",IF(C33&lt;&gt;"Closed",0,IF(T33="",0,IF(T33&lt;=0,0,IF(T33&gt;I33,I33,T33)))))</f>
        <v/>
      </c>
      <c r="R33" s="17" t="str">
        <f aca="false">IF(C33&lt;&gt;"Closed","",IF(OR(E33="",I33=""),"",IF(Q33&gt;=I33,"Paid off",EDATE(E33,Q33))))</f>
        <v/>
      </c>
      <c r="S33" s="16" t="str">
        <f aca="false">IF(OR(F33="",E33=""),"",(YEAR(C8)-YEAR(E33))*12+MONTH(C8)-MONTH(E33))</f>
        <v/>
      </c>
      <c r="T33" s="16" t="str">
        <f aca="false">IF(S33="","",S33+IF(EDATE(E33,S33)&lt;=C8,1,0))</f>
        <v/>
      </c>
      <c r="U33" s="18" t="str">
        <f aca="false">IF(D33="","",DATE(YEAR(D33),MONTH(D33),1))</f>
        <v/>
      </c>
      <c r="V33" s="15" t="str">
        <f aca="false">IF(F33="","",M33+N33)</f>
        <v/>
      </c>
      <c r="W33" s="15" t="n">
        <f aca="false">IF(C33="Closed",SUM(V33),0)</f>
        <v>0</v>
      </c>
      <c r="X33" s="15" t="n">
        <f aca="false">IF(C33="Pipeline",SUM(V33),0)</f>
        <v>0</v>
      </c>
      <c r="Y33" s="16" t="str">
        <f aca="false">IF(C33="Pipeline",COUNTIF(C12:C33,"Pipeline"),"")</f>
        <v/>
      </c>
    </row>
    <row r="34" customFormat="false" ht="15" hidden="false" customHeight="false" outlineLevel="0" collapsed="false">
      <c r="A34" s="11"/>
      <c r="B34" s="11"/>
      <c r="C34" s="11"/>
      <c r="D34" s="12"/>
      <c r="E34" s="8" t="str">
        <f aca="false">IF(D34="","",EDATE(D34,1))</f>
        <v/>
      </c>
      <c r="F34" s="13"/>
      <c r="G34" s="6"/>
      <c r="H34" s="6"/>
      <c r="I34" s="14"/>
      <c r="J34" s="15" t="str">
        <f aca="false">IF(F34="","",F34*G34)</f>
        <v/>
      </c>
      <c r="K34" s="15" t="str">
        <f aca="false">IF(F34="","",F34-J34)</f>
        <v/>
      </c>
      <c r="L34" s="15" t="str">
        <f aca="false">IF(OR(K34="",I34=""),"",PMT(H34/12,I34,-K34))</f>
        <v/>
      </c>
      <c r="M34" s="15" t="str">
        <f aca="false">IF(F34="","",IF(C34="Dead",0,F34*C5))</f>
        <v/>
      </c>
      <c r="N34" s="15" t="str">
        <f aca="false">IF(F34="","",IF(C34="Dead",0,F34*C6))</f>
        <v/>
      </c>
      <c r="O34" s="15" t="str">
        <f aca="false">IF(OR(F34="",I34=""),"",IF(C34="Dead",0,I34*PMT(C7/12,I34,-F34)-F34))</f>
        <v/>
      </c>
      <c r="P34" s="15" t="str">
        <f aca="false">IF(F34="","",IF(C34&lt;&gt;"Closed",0,SUMIF('Referral Fees'!I11:BP11,"&lt;="&amp;Q34,'Referral Fees'!I34:BP34)))</f>
        <v/>
      </c>
      <c r="Q34" s="16" t="str">
        <f aca="false">IF(F34="","",IF(C34&lt;&gt;"Closed",0,IF(T34="",0,IF(T34&lt;=0,0,IF(T34&gt;I34,I34,T34)))))</f>
        <v/>
      </c>
      <c r="R34" s="17" t="str">
        <f aca="false">IF(C34&lt;&gt;"Closed","",IF(OR(E34="",I34=""),"",IF(Q34&gt;=I34,"Paid off",EDATE(E34,Q34))))</f>
        <v/>
      </c>
      <c r="S34" s="16" t="str">
        <f aca="false">IF(OR(F34="",E34=""),"",(YEAR(C8)-YEAR(E34))*12+MONTH(C8)-MONTH(E34))</f>
        <v/>
      </c>
      <c r="T34" s="16" t="str">
        <f aca="false">IF(S34="","",S34+IF(EDATE(E34,S34)&lt;=C8,1,0))</f>
        <v/>
      </c>
      <c r="U34" s="18" t="str">
        <f aca="false">IF(D34="","",DATE(YEAR(D34),MONTH(D34),1))</f>
        <v/>
      </c>
      <c r="V34" s="15" t="str">
        <f aca="false">IF(F34="","",M34+N34)</f>
        <v/>
      </c>
      <c r="W34" s="15" t="n">
        <f aca="false">IF(C34="Closed",SUM(V34),0)</f>
        <v>0</v>
      </c>
      <c r="X34" s="15" t="n">
        <f aca="false">IF(C34="Pipeline",SUM(V34),0)</f>
        <v>0</v>
      </c>
      <c r="Y34" s="16" t="str">
        <f aca="false">IF(C34="Pipeline",COUNTIF(C12:C34,"Pipeline"),"")</f>
        <v/>
      </c>
    </row>
    <row r="35" customFormat="false" ht="15" hidden="false" customHeight="false" outlineLevel="0" collapsed="false">
      <c r="A35" s="11"/>
      <c r="B35" s="11"/>
      <c r="C35" s="11"/>
      <c r="D35" s="12"/>
      <c r="E35" s="8" t="str">
        <f aca="false">IF(D35="","",EDATE(D35,1))</f>
        <v/>
      </c>
      <c r="F35" s="13"/>
      <c r="G35" s="6"/>
      <c r="H35" s="6"/>
      <c r="I35" s="14"/>
      <c r="J35" s="15" t="str">
        <f aca="false">IF(F35="","",F35*G35)</f>
        <v/>
      </c>
      <c r="K35" s="15" t="str">
        <f aca="false">IF(F35="","",F35-J35)</f>
        <v/>
      </c>
      <c r="L35" s="15" t="str">
        <f aca="false">IF(OR(K35="",I35=""),"",PMT(H35/12,I35,-K35))</f>
        <v/>
      </c>
      <c r="M35" s="15" t="str">
        <f aca="false">IF(F35="","",IF(C35="Dead",0,F35*C5))</f>
        <v/>
      </c>
      <c r="N35" s="15" t="str">
        <f aca="false">IF(F35="","",IF(C35="Dead",0,F35*C6))</f>
        <v/>
      </c>
      <c r="O35" s="15" t="str">
        <f aca="false">IF(OR(F35="",I35=""),"",IF(C35="Dead",0,I35*PMT(C7/12,I35,-F35)-F35))</f>
        <v/>
      </c>
      <c r="P35" s="15" t="str">
        <f aca="false">IF(F35="","",IF(C35&lt;&gt;"Closed",0,SUMIF('Referral Fees'!I11:BP11,"&lt;="&amp;Q35,'Referral Fees'!I35:BP35)))</f>
        <v/>
      </c>
      <c r="Q35" s="16" t="str">
        <f aca="false">IF(F35="","",IF(C35&lt;&gt;"Closed",0,IF(T35="",0,IF(T35&lt;=0,0,IF(T35&gt;I35,I35,T35)))))</f>
        <v/>
      </c>
      <c r="R35" s="17" t="str">
        <f aca="false">IF(C35&lt;&gt;"Closed","",IF(OR(E35="",I35=""),"",IF(Q35&gt;=I35,"Paid off",EDATE(E35,Q35))))</f>
        <v/>
      </c>
      <c r="S35" s="16" t="str">
        <f aca="false">IF(OR(F35="",E35=""),"",(YEAR(C8)-YEAR(E35))*12+MONTH(C8)-MONTH(E35))</f>
        <v/>
      </c>
      <c r="T35" s="16" t="str">
        <f aca="false">IF(S35="","",S35+IF(EDATE(E35,S35)&lt;=C8,1,0))</f>
        <v/>
      </c>
      <c r="U35" s="18" t="str">
        <f aca="false">IF(D35="","",DATE(YEAR(D35),MONTH(D35),1))</f>
        <v/>
      </c>
      <c r="V35" s="15" t="str">
        <f aca="false">IF(F35="","",M35+N35)</f>
        <v/>
      </c>
      <c r="W35" s="15" t="n">
        <f aca="false">IF(C35="Closed",SUM(V35),0)</f>
        <v>0</v>
      </c>
      <c r="X35" s="15" t="n">
        <f aca="false">IF(C35="Pipeline",SUM(V35),0)</f>
        <v>0</v>
      </c>
      <c r="Y35" s="16" t="str">
        <f aca="false">IF(C35="Pipeline",COUNTIF(C12:C35,"Pipeline"),"")</f>
        <v/>
      </c>
    </row>
    <row r="36" customFormat="false" ht="15" hidden="false" customHeight="false" outlineLevel="0" collapsed="false">
      <c r="A36" s="11"/>
      <c r="B36" s="11"/>
      <c r="C36" s="11"/>
      <c r="D36" s="12"/>
      <c r="E36" s="8" t="str">
        <f aca="false">IF(D36="","",EDATE(D36,1))</f>
        <v/>
      </c>
      <c r="F36" s="13"/>
      <c r="G36" s="6"/>
      <c r="H36" s="6"/>
      <c r="I36" s="14"/>
      <c r="J36" s="15" t="str">
        <f aca="false">IF(F36="","",F36*G36)</f>
        <v/>
      </c>
      <c r="K36" s="15" t="str">
        <f aca="false">IF(F36="","",F36-J36)</f>
        <v/>
      </c>
      <c r="L36" s="15" t="str">
        <f aca="false">IF(OR(K36="",I36=""),"",PMT(H36/12,I36,-K36))</f>
        <v/>
      </c>
      <c r="M36" s="15" t="str">
        <f aca="false">IF(F36="","",IF(C36="Dead",0,F36*C5))</f>
        <v/>
      </c>
      <c r="N36" s="15" t="str">
        <f aca="false">IF(F36="","",IF(C36="Dead",0,F36*C6))</f>
        <v/>
      </c>
      <c r="O36" s="15" t="str">
        <f aca="false">IF(OR(F36="",I36=""),"",IF(C36="Dead",0,I36*PMT(C7/12,I36,-F36)-F36))</f>
        <v/>
      </c>
      <c r="P36" s="15" t="str">
        <f aca="false">IF(F36="","",IF(C36&lt;&gt;"Closed",0,SUMIF('Referral Fees'!I11:BP11,"&lt;="&amp;Q36,'Referral Fees'!I36:BP36)))</f>
        <v/>
      </c>
      <c r="Q36" s="16" t="str">
        <f aca="false">IF(F36="","",IF(C36&lt;&gt;"Closed",0,IF(T36="",0,IF(T36&lt;=0,0,IF(T36&gt;I36,I36,T36)))))</f>
        <v/>
      </c>
      <c r="R36" s="17" t="str">
        <f aca="false">IF(C36&lt;&gt;"Closed","",IF(OR(E36="",I36=""),"",IF(Q36&gt;=I36,"Paid off",EDATE(E36,Q36))))</f>
        <v/>
      </c>
      <c r="S36" s="16" t="str">
        <f aca="false">IF(OR(F36="",E36=""),"",(YEAR(C8)-YEAR(E36))*12+MONTH(C8)-MONTH(E36))</f>
        <v/>
      </c>
      <c r="T36" s="16" t="str">
        <f aca="false">IF(S36="","",S36+IF(EDATE(E36,S36)&lt;=C8,1,0))</f>
        <v/>
      </c>
      <c r="U36" s="18" t="str">
        <f aca="false">IF(D36="","",DATE(YEAR(D36),MONTH(D36),1))</f>
        <v/>
      </c>
      <c r="V36" s="15" t="str">
        <f aca="false">IF(F36="","",M36+N36)</f>
        <v/>
      </c>
      <c r="W36" s="15" t="n">
        <f aca="false">IF(C36="Closed",SUM(V36),0)</f>
        <v>0</v>
      </c>
      <c r="X36" s="15" t="n">
        <f aca="false">IF(C36="Pipeline",SUM(V36),0)</f>
        <v>0</v>
      </c>
      <c r="Y36" s="16" t="str">
        <f aca="false">IF(C36="Pipeline",COUNTIF(C12:C36,"Pipeline"),"")</f>
        <v/>
      </c>
    </row>
    <row r="37" customFormat="false" ht="15" hidden="false" customHeight="false" outlineLevel="0" collapsed="false">
      <c r="A37" s="11"/>
      <c r="B37" s="11"/>
      <c r="C37" s="11"/>
      <c r="D37" s="12"/>
      <c r="E37" s="8" t="str">
        <f aca="false">IF(D37="","",EDATE(D37,1))</f>
        <v/>
      </c>
      <c r="F37" s="13"/>
      <c r="G37" s="6"/>
      <c r="H37" s="6"/>
      <c r="I37" s="14"/>
      <c r="J37" s="15" t="str">
        <f aca="false">IF(F37="","",F37*G37)</f>
        <v/>
      </c>
      <c r="K37" s="15" t="str">
        <f aca="false">IF(F37="","",F37-J37)</f>
        <v/>
      </c>
      <c r="L37" s="15" t="str">
        <f aca="false">IF(OR(K37="",I37=""),"",PMT(H37/12,I37,-K37))</f>
        <v/>
      </c>
      <c r="M37" s="15" t="str">
        <f aca="false">IF(F37="","",IF(C37="Dead",0,F37*C5))</f>
        <v/>
      </c>
      <c r="N37" s="15" t="str">
        <f aca="false">IF(F37="","",IF(C37="Dead",0,F37*C6))</f>
        <v/>
      </c>
      <c r="O37" s="15" t="str">
        <f aca="false">IF(OR(F37="",I37=""),"",IF(C37="Dead",0,I37*PMT(C7/12,I37,-F37)-F37))</f>
        <v/>
      </c>
      <c r="P37" s="15" t="str">
        <f aca="false">IF(F37="","",IF(C37&lt;&gt;"Closed",0,SUMIF('Referral Fees'!I11:BP11,"&lt;="&amp;Q37,'Referral Fees'!I37:BP37)))</f>
        <v/>
      </c>
      <c r="Q37" s="16" t="str">
        <f aca="false">IF(F37="","",IF(C37&lt;&gt;"Closed",0,IF(T37="",0,IF(T37&lt;=0,0,IF(T37&gt;I37,I37,T37)))))</f>
        <v/>
      </c>
      <c r="R37" s="17" t="str">
        <f aca="false">IF(C37&lt;&gt;"Closed","",IF(OR(E37="",I37=""),"",IF(Q37&gt;=I37,"Paid off",EDATE(E37,Q37))))</f>
        <v/>
      </c>
      <c r="S37" s="16" t="str">
        <f aca="false">IF(OR(F37="",E37=""),"",(YEAR(C8)-YEAR(E37))*12+MONTH(C8)-MONTH(E37))</f>
        <v/>
      </c>
      <c r="T37" s="16" t="str">
        <f aca="false">IF(S37="","",S37+IF(EDATE(E37,S37)&lt;=C8,1,0))</f>
        <v/>
      </c>
      <c r="U37" s="18" t="str">
        <f aca="false">IF(D37="","",DATE(YEAR(D37),MONTH(D37),1))</f>
        <v/>
      </c>
      <c r="V37" s="15" t="str">
        <f aca="false">IF(F37="","",M37+N37)</f>
        <v/>
      </c>
      <c r="W37" s="15" t="n">
        <f aca="false">IF(C37="Closed",SUM(V37),0)</f>
        <v>0</v>
      </c>
      <c r="X37" s="15" t="n">
        <f aca="false">IF(C37="Pipeline",SUM(V37),0)</f>
        <v>0</v>
      </c>
      <c r="Y37" s="16" t="str">
        <f aca="false">IF(C37="Pipeline",COUNTIF(C12:C37,"Pipeline"),"")</f>
        <v/>
      </c>
    </row>
    <row r="38" customFormat="false" ht="15" hidden="false" customHeight="false" outlineLevel="0" collapsed="false">
      <c r="A38" s="11"/>
      <c r="B38" s="11"/>
      <c r="C38" s="11"/>
      <c r="D38" s="12"/>
      <c r="E38" s="8" t="str">
        <f aca="false">IF(D38="","",EDATE(D38,1))</f>
        <v/>
      </c>
      <c r="F38" s="13"/>
      <c r="G38" s="6"/>
      <c r="H38" s="6"/>
      <c r="I38" s="14"/>
      <c r="J38" s="15" t="str">
        <f aca="false">IF(F38="","",F38*G38)</f>
        <v/>
      </c>
      <c r="K38" s="15" t="str">
        <f aca="false">IF(F38="","",F38-J38)</f>
        <v/>
      </c>
      <c r="L38" s="15" t="str">
        <f aca="false">IF(OR(K38="",I38=""),"",PMT(H38/12,I38,-K38))</f>
        <v/>
      </c>
      <c r="M38" s="15" t="str">
        <f aca="false">IF(F38="","",IF(C38="Dead",0,F38*C5))</f>
        <v/>
      </c>
      <c r="N38" s="15" t="str">
        <f aca="false">IF(F38="","",IF(C38="Dead",0,F38*C6))</f>
        <v/>
      </c>
      <c r="O38" s="15" t="str">
        <f aca="false">IF(OR(F38="",I38=""),"",IF(C38="Dead",0,I38*PMT(C7/12,I38,-F38)-F38))</f>
        <v/>
      </c>
      <c r="P38" s="15" t="str">
        <f aca="false">IF(F38="","",IF(C38&lt;&gt;"Closed",0,SUMIF('Referral Fees'!I11:BP11,"&lt;="&amp;Q38,'Referral Fees'!I38:BP38)))</f>
        <v/>
      </c>
      <c r="Q38" s="16" t="str">
        <f aca="false">IF(F38="","",IF(C38&lt;&gt;"Closed",0,IF(T38="",0,IF(T38&lt;=0,0,IF(T38&gt;I38,I38,T38)))))</f>
        <v/>
      </c>
      <c r="R38" s="17" t="str">
        <f aca="false">IF(C38&lt;&gt;"Closed","",IF(OR(E38="",I38=""),"",IF(Q38&gt;=I38,"Paid off",EDATE(E38,Q38))))</f>
        <v/>
      </c>
      <c r="S38" s="16" t="str">
        <f aca="false">IF(OR(F38="",E38=""),"",(YEAR(C8)-YEAR(E38))*12+MONTH(C8)-MONTH(E38))</f>
        <v/>
      </c>
      <c r="T38" s="16" t="str">
        <f aca="false">IF(S38="","",S38+IF(EDATE(E38,S38)&lt;=C8,1,0))</f>
        <v/>
      </c>
      <c r="U38" s="18" t="str">
        <f aca="false">IF(D38="","",DATE(YEAR(D38),MONTH(D38),1))</f>
        <v/>
      </c>
      <c r="V38" s="15" t="str">
        <f aca="false">IF(F38="","",M38+N38)</f>
        <v/>
      </c>
      <c r="W38" s="15" t="n">
        <f aca="false">IF(C38="Closed",SUM(V38),0)</f>
        <v>0</v>
      </c>
      <c r="X38" s="15" t="n">
        <f aca="false">IF(C38="Pipeline",SUM(V38),0)</f>
        <v>0</v>
      </c>
      <c r="Y38" s="16" t="str">
        <f aca="false">IF(C38="Pipeline",COUNTIF(C12:C38,"Pipeline"),"")</f>
        <v/>
      </c>
    </row>
    <row r="39" customFormat="false" ht="15" hidden="false" customHeight="false" outlineLevel="0" collapsed="false">
      <c r="A39" s="11"/>
      <c r="B39" s="11"/>
      <c r="C39" s="11"/>
      <c r="D39" s="12"/>
      <c r="E39" s="8" t="str">
        <f aca="false">IF(D39="","",EDATE(D39,1))</f>
        <v/>
      </c>
      <c r="F39" s="13"/>
      <c r="G39" s="6"/>
      <c r="H39" s="6"/>
      <c r="I39" s="14"/>
      <c r="J39" s="15" t="str">
        <f aca="false">IF(F39="","",F39*G39)</f>
        <v/>
      </c>
      <c r="K39" s="15" t="str">
        <f aca="false">IF(F39="","",F39-J39)</f>
        <v/>
      </c>
      <c r="L39" s="15" t="str">
        <f aca="false">IF(OR(K39="",I39=""),"",PMT(H39/12,I39,-K39))</f>
        <v/>
      </c>
      <c r="M39" s="15" t="str">
        <f aca="false">IF(F39="","",IF(C39="Dead",0,F39*C5))</f>
        <v/>
      </c>
      <c r="N39" s="15" t="str">
        <f aca="false">IF(F39="","",IF(C39="Dead",0,F39*C6))</f>
        <v/>
      </c>
      <c r="O39" s="15" t="str">
        <f aca="false">IF(OR(F39="",I39=""),"",IF(C39="Dead",0,I39*PMT(C7/12,I39,-F39)-F39))</f>
        <v/>
      </c>
      <c r="P39" s="15" t="str">
        <f aca="false">IF(F39="","",IF(C39&lt;&gt;"Closed",0,SUMIF('Referral Fees'!I11:BP11,"&lt;="&amp;Q39,'Referral Fees'!I39:BP39)))</f>
        <v/>
      </c>
      <c r="Q39" s="16" t="str">
        <f aca="false">IF(F39="","",IF(C39&lt;&gt;"Closed",0,IF(T39="",0,IF(T39&lt;=0,0,IF(T39&gt;I39,I39,T39)))))</f>
        <v/>
      </c>
      <c r="R39" s="17" t="str">
        <f aca="false">IF(C39&lt;&gt;"Closed","",IF(OR(E39="",I39=""),"",IF(Q39&gt;=I39,"Paid off",EDATE(E39,Q39))))</f>
        <v/>
      </c>
      <c r="S39" s="16" t="str">
        <f aca="false">IF(OR(F39="",E39=""),"",(YEAR(C8)-YEAR(E39))*12+MONTH(C8)-MONTH(E39))</f>
        <v/>
      </c>
      <c r="T39" s="16" t="str">
        <f aca="false">IF(S39="","",S39+IF(EDATE(E39,S39)&lt;=C8,1,0))</f>
        <v/>
      </c>
      <c r="U39" s="18" t="str">
        <f aca="false">IF(D39="","",DATE(YEAR(D39),MONTH(D39),1))</f>
        <v/>
      </c>
      <c r="V39" s="15" t="str">
        <f aca="false">IF(F39="","",M39+N39)</f>
        <v/>
      </c>
      <c r="W39" s="15" t="n">
        <f aca="false">IF(C39="Closed",SUM(V39),0)</f>
        <v>0</v>
      </c>
      <c r="X39" s="15" t="n">
        <f aca="false">IF(C39="Pipeline",SUM(V39),0)</f>
        <v>0</v>
      </c>
      <c r="Y39" s="16" t="str">
        <f aca="false">IF(C39="Pipeline",COUNTIF(C12:C39,"Pipeline"),"")</f>
        <v/>
      </c>
    </row>
    <row r="40" customFormat="false" ht="15" hidden="false" customHeight="false" outlineLevel="0" collapsed="false">
      <c r="A40" s="11"/>
      <c r="B40" s="11"/>
      <c r="C40" s="11"/>
      <c r="D40" s="12"/>
      <c r="E40" s="8" t="str">
        <f aca="false">IF(D40="","",EDATE(D40,1))</f>
        <v/>
      </c>
      <c r="F40" s="13"/>
      <c r="G40" s="6"/>
      <c r="H40" s="6"/>
      <c r="I40" s="14"/>
      <c r="J40" s="15" t="str">
        <f aca="false">IF(F40="","",F40*G40)</f>
        <v/>
      </c>
      <c r="K40" s="15" t="str">
        <f aca="false">IF(F40="","",F40-J40)</f>
        <v/>
      </c>
      <c r="L40" s="15" t="str">
        <f aca="false">IF(OR(K40="",I40=""),"",PMT(H40/12,I40,-K40))</f>
        <v/>
      </c>
      <c r="M40" s="15" t="str">
        <f aca="false">IF(F40="","",IF(C40="Dead",0,F40*C5))</f>
        <v/>
      </c>
      <c r="N40" s="15" t="str">
        <f aca="false">IF(F40="","",IF(C40="Dead",0,F40*C6))</f>
        <v/>
      </c>
      <c r="O40" s="15" t="str">
        <f aca="false">IF(OR(F40="",I40=""),"",IF(C40="Dead",0,I40*PMT(C7/12,I40,-F40)-F40))</f>
        <v/>
      </c>
      <c r="P40" s="15" t="str">
        <f aca="false">IF(F40="","",IF(C40&lt;&gt;"Closed",0,SUMIF('Referral Fees'!I11:BP11,"&lt;="&amp;Q40,'Referral Fees'!I40:BP40)))</f>
        <v/>
      </c>
      <c r="Q40" s="16" t="str">
        <f aca="false">IF(F40="","",IF(C40&lt;&gt;"Closed",0,IF(T40="",0,IF(T40&lt;=0,0,IF(T40&gt;I40,I40,T40)))))</f>
        <v/>
      </c>
      <c r="R40" s="17" t="str">
        <f aca="false">IF(C40&lt;&gt;"Closed","",IF(OR(E40="",I40=""),"",IF(Q40&gt;=I40,"Paid off",EDATE(E40,Q40))))</f>
        <v/>
      </c>
      <c r="S40" s="16" t="str">
        <f aca="false">IF(OR(F40="",E40=""),"",(YEAR(C8)-YEAR(E40))*12+MONTH(C8)-MONTH(E40))</f>
        <v/>
      </c>
      <c r="T40" s="16" t="str">
        <f aca="false">IF(S40="","",S40+IF(EDATE(E40,S40)&lt;=C8,1,0))</f>
        <v/>
      </c>
      <c r="U40" s="18" t="str">
        <f aca="false">IF(D40="","",DATE(YEAR(D40),MONTH(D40),1))</f>
        <v/>
      </c>
      <c r="V40" s="15" t="str">
        <f aca="false">IF(F40="","",M40+N40)</f>
        <v/>
      </c>
      <c r="W40" s="15" t="n">
        <f aca="false">IF(C40="Closed",SUM(V40),0)</f>
        <v>0</v>
      </c>
      <c r="X40" s="15" t="n">
        <f aca="false">IF(C40="Pipeline",SUM(V40),0)</f>
        <v>0</v>
      </c>
      <c r="Y40" s="16" t="str">
        <f aca="false">IF(C40="Pipeline",COUNTIF(C12:C40,"Pipeline"),"")</f>
        <v/>
      </c>
    </row>
    <row r="41" customFormat="false" ht="15" hidden="false" customHeight="false" outlineLevel="0" collapsed="false">
      <c r="A41" s="11"/>
      <c r="B41" s="11"/>
      <c r="C41" s="11"/>
      <c r="D41" s="12"/>
      <c r="E41" s="8" t="str">
        <f aca="false">IF(D41="","",EDATE(D41,1))</f>
        <v/>
      </c>
      <c r="F41" s="13"/>
      <c r="G41" s="6"/>
      <c r="H41" s="6"/>
      <c r="I41" s="14"/>
      <c r="J41" s="15" t="str">
        <f aca="false">IF(F41="","",F41*G41)</f>
        <v/>
      </c>
      <c r="K41" s="15" t="str">
        <f aca="false">IF(F41="","",F41-J41)</f>
        <v/>
      </c>
      <c r="L41" s="15" t="str">
        <f aca="false">IF(OR(K41="",I41=""),"",PMT(H41/12,I41,-K41))</f>
        <v/>
      </c>
      <c r="M41" s="15" t="str">
        <f aca="false">IF(F41="","",IF(C41="Dead",0,F41*C5))</f>
        <v/>
      </c>
      <c r="N41" s="15" t="str">
        <f aca="false">IF(F41="","",IF(C41="Dead",0,F41*C6))</f>
        <v/>
      </c>
      <c r="O41" s="15" t="str">
        <f aca="false">IF(OR(F41="",I41=""),"",IF(C41="Dead",0,I41*PMT(C7/12,I41,-F41)-F41))</f>
        <v/>
      </c>
      <c r="P41" s="15" t="str">
        <f aca="false">IF(F41="","",IF(C41&lt;&gt;"Closed",0,SUMIF('Referral Fees'!I11:BP11,"&lt;="&amp;Q41,'Referral Fees'!I41:BP41)))</f>
        <v/>
      </c>
      <c r="Q41" s="16" t="str">
        <f aca="false">IF(F41="","",IF(C41&lt;&gt;"Closed",0,IF(T41="",0,IF(T41&lt;=0,0,IF(T41&gt;I41,I41,T41)))))</f>
        <v/>
      </c>
      <c r="R41" s="17" t="str">
        <f aca="false">IF(C41&lt;&gt;"Closed","",IF(OR(E41="",I41=""),"",IF(Q41&gt;=I41,"Paid off",EDATE(E41,Q41))))</f>
        <v/>
      </c>
      <c r="S41" s="16" t="str">
        <f aca="false">IF(OR(F41="",E41=""),"",(YEAR(C8)-YEAR(E41))*12+MONTH(C8)-MONTH(E41))</f>
        <v/>
      </c>
      <c r="T41" s="16" t="str">
        <f aca="false">IF(S41="","",S41+IF(EDATE(E41,S41)&lt;=C8,1,0))</f>
        <v/>
      </c>
      <c r="U41" s="18" t="str">
        <f aca="false">IF(D41="","",DATE(YEAR(D41),MONTH(D41),1))</f>
        <v/>
      </c>
      <c r="V41" s="15" t="str">
        <f aca="false">IF(F41="","",M41+N41)</f>
        <v/>
      </c>
      <c r="W41" s="15" t="n">
        <f aca="false">IF(C41="Closed",SUM(V41),0)</f>
        <v>0</v>
      </c>
      <c r="X41" s="15" t="n">
        <f aca="false">IF(C41="Pipeline",SUM(V41),0)</f>
        <v>0</v>
      </c>
      <c r="Y41" s="16" t="str">
        <f aca="false">IF(C41="Pipeline",COUNTIF(C12:C41,"Pipeline"),"")</f>
        <v/>
      </c>
    </row>
    <row r="42" customFormat="false" ht="15" hidden="false" customHeight="false" outlineLevel="0" collapsed="false">
      <c r="A42" s="11"/>
      <c r="B42" s="11"/>
      <c r="C42" s="11"/>
      <c r="D42" s="12"/>
      <c r="E42" s="8" t="str">
        <f aca="false">IF(D42="","",EDATE(D42,1))</f>
        <v/>
      </c>
      <c r="F42" s="13"/>
      <c r="G42" s="6"/>
      <c r="H42" s="6"/>
      <c r="I42" s="14"/>
      <c r="J42" s="15" t="str">
        <f aca="false">IF(F42="","",F42*G42)</f>
        <v/>
      </c>
      <c r="K42" s="15" t="str">
        <f aca="false">IF(F42="","",F42-J42)</f>
        <v/>
      </c>
      <c r="L42" s="15" t="str">
        <f aca="false">IF(OR(K42="",I42=""),"",PMT(H42/12,I42,-K42))</f>
        <v/>
      </c>
      <c r="M42" s="15" t="str">
        <f aca="false">IF(F42="","",IF(C42="Dead",0,F42*C5))</f>
        <v/>
      </c>
      <c r="N42" s="15" t="str">
        <f aca="false">IF(F42="","",IF(C42="Dead",0,F42*C6))</f>
        <v/>
      </c>
      <c r="O42" s="15" t="str">
        <f aca="false">IF(OR(F42="",I42=""),"",IF(C42="Dead",0,I42*PMT(C7/12,I42,-F42)-F42))</f>
        <v/>
      </c>
      <c r="P42" s="15" t="str">
        <f aca="false">IF(F42="","",IF(C42&lt;&gt;"Closed",0,SUMIF('Referral Fees'!I11:BP11,"&lt;="&amp;Q42,'Referral Fees'!I42:BP42)))</f>
        <v/>
      </c>
      <c r="Q42" s="16" t="str">
        <f aca="false">IF(F42="","",IF(C42&lt;&gt;"Closed",0,IF(T42="",0,IF(T42&lt;=0,0,IF(T42&gt;I42,I42,T42)))))</f>
        <v/>
      </c>
      <c r="R42" s="17" t="str">
        <f aca="false">IF(C42&lt;&gt;"Closed","",IF(OR(E42="",I42=""),"",IF(Q42&gt;=I42,"Paid off",EDATE(E42,Q42))))</f>
        <v/>
      </c>
      <c r="S42" s="16" t="str">
        <f aca="false">IF(OR(F42="",E42=""),"",(YEAR(C8)-YEAR(E42))*12+MONTH(C8)-MONTH(E42))</f>
        <v/>
      </c>
      <c r="T42" s="16" t="str">
        <f aca="false">IF(S42="","",S42+IF(EDATE(E42,S42)&lt;=C8,1,0))</f>
        <v/>
      </c>
      <c r="U42" s="18" t="str">
        <f aca="false">IF(D42="","",DATE(YEAR(D42),MONTH(D42),1))</f>
        <v/>
      </c>
      <c r="V42" s="15" t="str">
        <f aca="false">IF(F42="","",M42+N42)</f>
        <v/>
      </c>
      <c r="W42" s="15" t="n">
        <f aca="false">IF(C42="Closed",SUM(V42),0)</f>
        <v>0</v>
      </c>
      <c r="X42" s="15" t="n">
        <f aca="false">IF(C42="Pipeline",SUM(V42),0)</f>
        <v>0</v>
      </c>
      <c r="Y42" s="16" t="str">
        <f aca="false">IF(C42="Pipeline",COUNTIF(C12:C42,"Pipeline"),"")</f>
        <v/>
      </c>
    </row>
    <row r="43" customFormat="false" ht="15" hidden="false" customHeight="false" outlineLevel="0" collapsed="false">
      <c r="A43" s="11"/>
      <c r="B43" s="11"/>
      <c r="C43" s="11"/>
      <c r="D43" s="12"/>
      <c r="E43" s="8" t="str">
        <f aca="false">IF(D43="","",EDATE(D43,1))</f>
        <v/>
      </c>
      <c r="F43" s="13"/>
      <c r="G43" s="6"/>
      <c r="H43" s="6"/>
      <c r="I43" s="14"/>
      <c r="J43" s="15" t="str">
        <f aca="false">IF(F43="","",F43*G43)</f>
        <v/>
      </c>
      <c r="K43" s="15" t="str">
        <f aca="false">IF(F43="","",F43-J43)</f>
        <v/>
      </c>
      <c r="L43" s="15" t="str">
        <f aca="false">IF(OR(K43="",I43=""),"",PMT(H43/12,I43,-K43))</f>
        <v/>
      </c>
      <c r="M43" s="15" t="str">
        <f aca="false">IF(F43="","",IF(C43="Dead",0,F43*C5))</f>
        <v/>
      </c>
      <c r="N43" s="15" t="str">
        <f aca="false">IF(F43="","",IF(C43="Dead",0,F43*C6))</f>
        <v/>
      </c>
      <c r="O43" s="15" t="str">
        <f aca="false">IF(OR(F43="",I43=""),"",IF(C43="Dead",0,I43*PMT(C7/12,I43,-F43)-F43))</f>
        <v/>
      </c>
      <c r="P43" s="15" t="str">
        <f aca="false">IF(F43="","",IF(C43&lt;&gt;"Closed",0,SUMIF('Referral Fees'!I11:BP11,"&lt;="&amp;Q43,'Referral Fees'!I43:BP43)))</f>
        <v/>
      </c>
      <c r="Q43" s="16" t="str">
        <f aca="false">IF(F43="","",IF(C43&lt;&gt;"Closed",0,IF(T43="",0,IF(T43&lt;=0,0,IF(T43&gt;I43,I43,T43)))))</f>
        <v/>
      </c>
      <c r="R43" s="17" t="str">
        <f aca="false">IF(C43&lt;&gt;"Closed","",IF(OR(E43="",I43=""),"",IF(Q43&gt;=I43,"Paid off",EDATE(E43,Q43))))</f>
        <v/>
      </c>
      <c r="S43" s="16" t="str">
        <f aca="false">IF(OR(F43="",E43=""),"",(YEAR(C8)-YEAR(E43))*12+MONTH(C8)-MONTH(E43))</f>
        <v/>
      </c>
      <c r="T43" s="16" t="str">
        <f aca="false">IF(S43="","",S43+IF(EDATE(E43,S43)&lt;=C8,1,0))</f>
        <v/>
      </c>
      <c r="U43" s="18" t="str">
        <f aca="false">IF(D43="","",DATE(YEAR(D43),MONTH(D43),1))</f>
        <v/>
      </c>
      <c r="V43" s="15" t="str">
        <f aca="false">IF(F43="","",M43+N43)</f>
        <v/>
      </c>
      <c r="W43" s="15" t="n">
        <f aca="false">IF(C43="Closed",SUM(V43),0)</f>
        <v>0</v>
      </c>
      <c r="X43" s="15" t="n">
        <f aca="false">IF(C43="Pipeline",SUM(V43),0)</f>
        <v>0</v>
      </c>
      <c r="Y43" s="16" t="str">
        <f aca="false">IF(C43="Pipeline",COUNTIF(C12:C43,"Pipeline"),"")</f>
        <v/>
      </c>
    </row>
    <row r="44" customFormat="false" ht="15" hidden="false" customHeight="false" outlineLevel="0" collapsed="false">
      <c r="A44" s="11"/>
      <c r="B44" s="11"/>
      <c r="C44" s="11"/>
      <c r="D44" s="12"/>
      <c r="E44" s="8" t="str">
        <f aca="false">IF(D44="","",EDATE(D44,1))</f>
        <v/>
      </c>
      <c r="F44" s="13"/>
      <c r="G44" s="6"/>
      <c r="H44" s="6"/>
      <c r="I44" s="14"/>
      <c r="J44" s="15" t="str">
        <f aca="false">IF(F44="","",F44*G44)</f>
        <v/>
      </c>
      <c r="K44" s="15" t="str">
        <f aca="false">IF(F44="","",F44-J44)</f>
        <v/>
      </c>
      <c r="L44" s="15" t="str">
        <f aca="false">IF(OR(K44="",I44=""),"",PMT(H44/12,I44,-K44))</f>
        <v/>
      </c>
      <c r="M44" s="15" t="str">
        <f aca="false">IF(F44="","",IF(C44="Dead",0,F44*C5))</f>
        <v/>
      </c>
      <c r="N44" s="15" t="str">
        <f aca="false">IF(F44="","",IF(C44="Dead",0,F44*C6))</f>
        <v/>
      </c>
      <c r="O44" s="15" t="str">
        <f aca="false">IF(OR(F44="",I44=""),"",IF(C44="Dead",0,I44*PMT(C7/12,I44,-F44)-F44))</f>
        <v/>
      </c>
      <c r="P44" s="15" t="str">
        <f aca="false">IF(F44="","",IF(C44&lt;&gt;"Closed",0,SUMIF('Referral Fees'!I11:BP11,"&lt;="&amp;Q44,'Referral Fees'!I44:BP44)))</f>
        <v/>
      </c>
      <c r="Q44" s="16" t="str">
        <f aca="false">IF(F44="","",IF(C44&lt;&gt;"Closed",0,IF(T44="",0,IF(T44&lt;=0,0,IF(T44&gt;I44,I44,T44)))))</f>
        <v/>
      </c>
      <c r="R44" s="17" t="str">
        <f aca="false">IF(C44&lt;&gt;"Closed","",IF(OR(E44="",I44=""),"",IF(Q44&gt;=I44,"Paid off",EDATE(E44,Q44))))</f>
        <v/>
      </c>
      <c r="S44" s="16" t="str">
        <f aca="false">IF(OR(F44="",E44=""),"",(YEAR(C8)-YEAR(E44))*12+MONTH(C8)-MONTH(E44))</f>
        <v/>
      </c>
      <c r="T44" s="16" t="str">
        <f aca="false">IF(S44="","",S44+IF(EDATE(E44,S44)&lt;=C8,1,0))</f>
        <v/>
      </c>
      <c r="U44" s="18" t="str">
        <f aca="false">IF(D44="","",DATE(YEAR(D44),MONTH(D44),1))</f>
        <v/>
      </c>
      <c r="V44" s="15" t="str">
        <f aca="false">IF(F44="","",M44+N44)</f>
        <v/>
      </c>
      <c r="W44" s="15" t="n">
        <f aca="false">IF(C44="Closed",SUM(V44),0)</f>
        <v>0</v>
      </c>
      <c r="X44" s="15" t="n">
        <f aca="false">IF(C44="Pipeline",SUM(V44),0)</f>
        <v>0</v>
      </c>
      <c r="Y44" s="16" t="str">
        <f aca="false">IF(C44="Pipeline",COUNTIF(C12:C44,"Pipeline"),"")</f>
        <v/>
      </c>
    </row>
    <row r="45" customFormat="false" ht="15" hidden="false" customHeight="false" outlineLevel="0" collapsed="false">
      <c r="A45" s="11"/>
      <c r="B45" s="11"/>
      <c r="C45" s="11"/>
      <c r="D45" s="12"/>
      <c r="E45" s="8" t="str">
        <f aca="false">IF(D45="","",EDATE(D45,1))</f>
        <v/>
      </c>
      <c r="F45" s="13"/>
      <c r="G45" s="6"/>
      <c r="H45" s="6"/>
      <c r="I45" s="14"/>
      <c r="J45" s="15" t="str">
        <f aca="false">IF(F45="","",F45*G45)</f>
        <v/>
      </c>
      <c r="K45" s="15" t="str">
        <f aca="false">IF(F45="","",F45-J45)</f>
        <v/>
      </c>
      <c r="L45" s="15" t="str">
        <f aca="false">IF(OR(K45="",I45=""),"",PMT(H45/12,I45,-K45))</f>
        <v/>
      </c>
      <c r="M45" s="15" t="str">
        <f aca="false">IF(F45="","",IF(C45="Dead",0,F45*C5))</f>
        <v/>
      </c>
      <c r="N45" s="15" t="str">
        <f aca="false">IF(F45="","",IF(C45="Dead",0,F45*C6))</f>
        <v/>
      </c>
      <c r="O45" s="15" t="str">
        <f aca="false">IF(OR(F45="",I45=""),"",IF(C45="Dead",0,I45*PMT(C7/12,I45,-F45)-F45))</f>
        <v/>
      </c>
      <c r="P45" s="15" t="str">
        <f aca="false">IF(F45="","",IF(C45&lt;&gt;"Closed",0,SUMIF('Referral Fees'!I11:BP11,"&lt;="&amp;Q45,'Referral Fees'!I45:BP45)))</f>
        <v/>
      </c>
      <c r="Q45" s="16" t="str">
        <f aca="false">IF(F45="","",IF(C45&lt;&gt;"Closed",0,IF(T45="",0,IF(T45&lt;=0,0,IF(T45&gt;I45,I45,T45)))))</f>
        <v/>
      </c>
      <c r="R45" s="17" t="str">
        <f aca="false">IF(C45&lt;&gt;"Closed","",IF(OR(E45="",I45=""),"",IF(Q45&gt;=I45,"Paid off",EDATE(E45,Q45))))</f>
        <v/>
      </c>
      <c r="S45" s="16" t="str">
        <f aca="false">IF(OR(F45="",E45=""),"",(YEAR(C8)-YEAR(E45))*12+MONTH(C8)-MONTH(E45))</f>
        <v/>
      </c>
      <c r="T45" s="16" t="str">
        <f aca="false">IF(S45="","",S45+IF(EDATE(E45,S45)&lt;=C8,1,0))</f>
        <v/>
      </c>
      <c r="U45" s="18" t="str">
        <f aca="false">IF(D45="","",DATE(YEAR(D45),MONTH(D45),1))</f>
        <v/>
      </c>
      <c r="V45" s="15" t="str">
        <f aca="false">IF(F45="","",M45+N45)</f>
        <v/>
      </c>
      <c r="W45" s="15" t="n">
        <f aca="false">IF(C45="Closed",SUM(V45),0)</f>
        <v>0</v>
      </c>
      <c r="X45" s="15" t="n">
        <f aca="false">IF(C45="Pipeline",SUM(V45),0)</f>
        <v>0</v>
      </c>
      <c r="Y45" s="16" t="str">
        <f aca="false">IF(C45="Pipeline",COUNTIF(C12:C45,"Pipeline"),"")</f>
        <v/>
      </c>
    </row>
    <row r="46" customFormat="false" ht="15" hidden="false" customHeight="false" outlineLevel="0" collapsed="false">
      <c r="A46" s="11"/>
      <c r="B46" s="11"/>
      <c r="C46" s="11"/>
      <c r="D46" s="12"/>
      <c r="E46" s="8" t="str">
        <f aca="false">IF(D46="","",EDATE(D46,1))</f>
        <v/>
      </c>
      <c r="F46" s="13"/>
      <c r="G46" s="6"/>
      <c r="H46" s="6"/>
      <c r="I46" s="14"/>
      <c r="J46" s="15" t="str">
        <f aca="false">IF(F46="","",F46*G46)</f>
        <v/>
      </c>
      <c r="K46" s="15" t="str">
        <f aca="false">IF(F46="","",F46-J46)</f>
        <v/>
      </c>
      <c r="L46" s="15" t="str">
        <f aca="false">IF(OR(K46="",I46=""),"",PMT(H46/12,I46,-K46))</f>
        <v/>
      </c>
      <c r="M46" s="15" t="str">
        <f aca="false">IF(F46="","",IF(C46="Dead",0,F46*C5))</f>
        <v/>
      </c>
      <c r="N46" s="15" t="str">
        <f aca="false">IF(F46="","",IF(C46="Dead",0,F46*C6))</f>
        <v/>
      </c>
      <c r="O46" s="15" t="str">
        <f aca="false">IF(OR(F46="",I46=""),"",IF(C46="Dead",0,I46*PMT(C7/12,I46,-F46)-F46))</f>
        <v/>
      </c>
      <c r="P46" s="15" t="str">
        <f aca="false">IF(F46="","",IF(C46&lt;&gt;"Closed",0,SUMIF('Referral Fees'!I11:BP11,"&lt;="&amp;Q46,'Referral Fees'!I46:BP46)))</f>
        <v/>
      </c>
      <c r="Q46" s="16" t="str">
        <f aca="false">IF(F46="","",IF(C46&lt;&gt;"Closed",0,IF(T46="",0,IF(T46&lt;=0,0,IF(T46&gt;I46,I46,T46)))))</f>
        <v/>
      </c>
      <c r="R46" s="17" t="str">
        <f aca="false">IF(C46&lt;&gt;"Closed","",IF(OR(E46="",I46=""),"",IF(Q46&gt;=I46,"Paid off",EDATE(E46,Q46))))</f>
        <v/>
      </c>
      <c r="S46" s="16" t="str">
        <f aca="false">IF(OR(F46="",E46=""),"",(YEAR(C8)-YEAR(E46))*12+MONTH(C8)-MONTH(E46))</f>
        <v/>
      </c>
      <c r="T46" s="16" t="str">
        <f aca="false">IF(S46="","",S46+IF(EDATE(E46,S46)&lt;=C8,1,0))</f>
        <v/>
      </c>
      <c r="U46" s="18" t="str">
        <f aca="false">IF(D46="","",DATE(YEAR(D46),MONTH(D46),1))</f>
        <v/>
      </c>
      <c r="V46" s="15" t="str">
        <f aca="false">IF(F46="","",M46+N46)</f>
        <v/>
      </c>
      <c r="W46" s="15" t="n">
        <f aca="false">IF(C46="Closed",SUM(V46),0)</f>
        <v>0</v>
      </c>
      <c r="X46" s="15" t="n">
        <f aca="false">IF(C46="Pipeline",SUM(V46),0)</f>
        <v>0</v>
      </c>
      <c r="Y46" s="16" t="str">
        <f aca="false">IF(C46="Pipeline",COUNTIF(C12:C46,"Pipeline"),"")</f>
        <v/>
      </c>
    </row>
    <row r="47" customFormat="false" ht="15" hidden="false" customHeight="false" outlineLevel="0" collapsed="false">
      <c r="A47" s="11"/>
      <c r="B47" s="11"/>
      <c r="C47" s="11"/>
      <c r="D47" s="12"/>
      <c r="E47" s="8" t="str">
        <f aca="false">IF(D47="","",EDATE(D47,1))</f>
        <v/>
      </c>
      <c r="F47" s="13"/>
      <c r="G47" s="6"/>
      <c r="H47" s="6"/>
      <c r="I47" s="14"/>
      <c r="J47" s="15" t="str">
        <f aca="false">IF(F47="","",F47*G47)</f>
        <v/>
      </c>
      <c r="K47" s="15" t="str">
        <f aca="false">IF(F47="","",F47-J47)</f>
        <v/>
      </c>
      <c r="L47" s="15" t="str">
        <f aca="false">IF(OR(K47="",I47=""),"",PMT(H47/12,I47,-K47))</f>
        <v/>
      </c>
      <c r="M47" s="15" t="str">
        <f aca="false">IF(F47="","",IF(C47="Dead",0,F47*C5))</f>
        <v/>
      </c>
      <c r="N47" s="15" t="str">
        <f aca="false">IF(F47="","",IF(C47="Dead",0,F47*C6))</f>
        <v/>
      </c>
      <c r="O47" s="15" t="str">
        <f aca="false">IF(OR(F47="",I47=""),"",IF(C47="Dead",0,I47*PMT(C7/12,I47,-F47)-F47))</f>
        <v/>
      </c>
      <c r="P47" s="15" t="str">
        <f aca="false">IF(F47="","",IF(C47&lt;&gt;"Closed",0,SUMIF('Referral Fees'!I11:BP11,"&lt;="&amp;Q47,'Referral Fees'!I47:BP47)))</f>
        <v/>
      </c>
      <c r="Q47" s="16" t="str">
        <f aca="false">IF(F47="","",IF(C47&lt;&gt;"Closed",0,IF(T47="",0,IF(T47&lt;=0,0,IF(T47&gt;I47,I47,T47)))))</f>
        <v/>
      </c>
      <c r="R47" s="17" t="str">
        <f aca="false">IF(C47&lt;&gt;"Closed","",IF(OR(E47="",I47=""),"",IF(Q47&gt;=I47,"Paid off",EDATE(E47,Q47))))</f>
        <v/>
      </c>
      <c r="S47" s="16" t="str">
        <f aca="false">IF(OR(F47="",E47=""),"",(YEAR(C8)-YEAR(E47))*12+MONTH(C8)-MONTH(E47))</f>
        <v/>
      </c>
      <c r="T47" s="16" t="str">
        <f aca="false">IF(S47="","",S47+IF(EDATE(E47,S47)&lt;=C8,1,0))</f>
        <v/>
      </c>
      <c r="U47" s="18" t="str">
        <f aca="false">IF(D47="","",DATE(YEAR(D47),MONTH(D47),1))</f>
        <v/>
      </c>
      <c r="V47" s="15" t="str">
        <f aca="false">IF(F47="","",M47+N47)</f>
        <v/>
      </c>
      <c r="W47" s="15" t="n">
        <f aca="false">IF(C47="Closed",SUM(V47),0)</f>
        <v>0</v>
      </c>
      <c r="X47" s="15" t="n">
        <f aca="false">IF(C47="Pipeline",SUM(V47),0)</f>
        <v>0</v>
      </c>
      <c r="Y47" s="16" t="str">
        <f aca="false">IF(C47="Pipeline",COUNTIF(C12:C47,"Pipeline"),"")</f>
        <v/>
      </c>
    </row>
    <row r="48" customFormat="false" ht="15" hidden="false" customHeight="false" outlineLevel="0" collapsed="false">
      <c r="A48" s="11"/>
      <c r="B48" s="11"/>
      <c r="C48" s="11"/>
      <c r="D48" s="12"/>
      <c r="E48" s="8" t="str">
        <f aca="false">IF(D48="","",EDATE(D48,1))</f>
        <v/>
      </c>
      <c r="F48" s="13"/>
      <c r="G48" s="6"/>
      <c r="H48" s="6"/>
      <c r="I48" s="14"/>
      <c r="J48" s="15" t="str">
        <f aca="false">IF(F48="","",F48*G48)</f>
        <v/>
      </c>
      <c r="K48" s="15" t="str">
        <f aca="false">IF(F48="","",F48-J48)</f>
        <v/>
      </c>
      <c r="L48" s="15" t="str">
        <f aca="false">IF(OR(K48="",I48=""),"",PMT(H48/12,I48,-K48))</f>
        <v/>
      </c>
      <c r="M48" s="15" t="str">
        <f aca="false">IF(F48="","",IF(C48="Dead",0,F48*C5))</f>
        <v/>
      </c>
      <c r="N48" s="15" t="str">
        <f aca="false">IF(F48="","",IF(C48="Dead",0,F48*C6))</f>
        <v/>
      </c>
      <c r="O48" s="15" t="str">
        <f aca="false">IF(OR(F48="",I48=""),"",IF(C48="Dead",0,I48*PMT(C7/12,I48,-F48)-F48))</f>
        <v/>
      </c>
      <c r="P48" s="15" t="str">
        <f aca="false">IF(F48="","",IF(C48&lt;&gt;"Closed",0,SUMIF('Referral Fees'!I11:BP11,"&lt;="&amp;Q48,'Referral Fees'!I48:BP48)))</f>
        <v/>
      </c>
      <c r="Q48" s="16" t="str">
        <f aca="false">IF(F48="","",IF(C48&lt;&gt;"Closed",0,IF(T48="",0,IF(T48&lt;=0,0,IF(T48&gt;I48,I48,T48)))))</f>
        <v/>
      </c>
      <c r="R48" s="17" t="str">
        <f aca="false">IF(C48&lt;&gt;"Closed","",IF(OR(E48="",I48=""),"",IF(Q48&gt;=I48,"Paid off",EDATE(E48,Q48))))</f>
        <v/>
      </c>
      <c r="S48" s="16" t="str">
        <f aca="false">IF(OR(F48="",E48=""),"",(YEAR(C8)-YEAR(E48))*12+MONTH(C8)-MONTH(E48))</f>
        <v/>
      </c>
      <c r="T48" s="16" t="str">
        <f aca="false">IF(S48="","",S48+IF(EDATE(E48,S48)&lt;=C8,1,0))</f>
        <v/>
      </c>
      <c r="U48" s="18" t="str">
        <f aca="false">IF(D48="","",DATE(YEAR(D48),MONTH(D48),1))</f>
        <v/>
      </c>
      <c r="V48" s="15" t="str">
        <f aca="false">IF(F48="","",M48+N48)</f>
        <v/>
      </c>
      <c r="W48" s="15" t="n">
        <f aca="false">IF(C48="Closed",SUM(V48),0)</f>
        <v>0</v>
      </c>
      <c r="X48" s="15" t="n">
        <f aca="false">IF(C48="Pipeline",SUM(V48),0)</f>
        <v>0</v>
      </c>
      <c r="Y48" s="16" t="str">
        <f aca="false">IF(C48="Pipeline",COUNTIF(C12:C48,"Pipeline"),"")</f>
        <v/>
      </c>
    </row>
    <row r="49" customFormat="false" ht="15" hidden="false" customHeight="false" outlineLevel="0" collapsed="false">
      <c r="A49" s="11"/>
      <c r="B49" s="11"/>
      <c r="C49" s="11"/>
      <c r="D49" s="12"/>
      <c r="E49" s="8" t="str">
        <f aca="false">IF(D49="","",EDATE(D49,1))</f>
        <v/>
      </c>
      <c r="F49" s="13"/>
      <c r="G49" s="6"/>
      <c r="H49" s="6"/>
      <c r="I49" s="14"/>
      <c r="J49" s="15" t="str">
        <f aca="false">IF(F49="","",F49*G49)</f>
        <v/>
      </c>
      <c r="K49" s="15" t="str">
        <f aca="false">IF(F49="","",F49-J49)</f>
        <v/>
      </c>
      <c r="L49" s="15" t="str">
        <f aca="false">IF(OR(K49="",I49=""),"",PMT(H49/12,I49,-K49))</f>
        <v/>
      </c>
      <c r="M49" s="15" t="str">
        <f aca="false">IF(F49="","",IF(C49="Dead",0,F49*C5))</f>
        <v/>
      </c>
      <c r="N49" s="15" t="str">
        <f aca="false">IF(F49="","",IF(C49="Dead",0,F49*C6))</f>
        <v/>
      </c>
      <c r="O49" s="15" t="str">
        <f aca="false">IF(OR(F49="",I49=""),"",IF(C49="Dead",0,I49*PMT(C7/12,I49,-F49)-F49))</f>
        <v/>
      </c>
      <c r="P49" s="15" t="str">
        <f aca="false">IF(F49="","",IF(C49&lt;&gt;"Closed",0,SUMIF('Referral Fees'!I11:BP11,"&lt;="&amp;Q49,'Referral Fees'!I49:BP49)))</f>
        <v/>
      </c>
      <c r="Q49" s="16" t="str">
        <f aca="false">IF(F49="","",IF(C49&lt;&gt;"Closed",0,IF(T49="",0,IF(T49&lt;=0,0,IF(T49&gt;I49,I49,T49)))))</f>
        <v/>
      </c>
      <c r="R49" s="17" t="str">
        <f aca="false">IF(C49&lt;&gt;"Closed","",IF(OR(E49="",I49=""),"",IF(Q49&gt;=I49,"Paid off",EDATE(E49,Q49))))</f>
        <v/>
      </c>
      <c r="S49" s="16" t="str">
        <f aca="false">IF(OR(F49="",E49=""),"",(YEAR(C8)-YEAR(E49))*12+MONTH(C8)-MONTH(E49))</f>
        <v/>
      </c>
      <c r="T49" s="16" t="str">
        <f aca="false">IF(S49="","",S49+IF(EDATE(E49,S49)&lt;=C8,1,0))</f>
        <v/>
      </c>
      <c r="U49" s="18" t="str">
        <f aca="false">IF(D49="","",DATE(YEAR(D49),MONTH(D49),1))</f>
        <v/>
      </c>
      <c r="V49" s="15" t="str">
        <f aca="false">IF(F49="","",M49+N49)</f>
        <v/>
      </c>
      <c r="W49" s="15" t="n">
        <f aca="false">IF(C49="Closed",SUM(V49),0)</f>
        <v>0</v>
      </c>
      <c r="X49" s="15" t="n">
        <f aca="false">IF(C49="Pipeline",SUM(V49),0)</f>
        <v>0</v>
      </c>
      <c r="Y49" s="16" t="str">
        <f aca="false">IF(C49="Pipeline",COUNTIF(C12:C49,"Pipeline"),"")</f>
        <v/>
      </c>
    </row>
    <row r="50" customFormat="false" ht="15" hidden="false" customHeight="false" outlineLevel="0" collapsed="false">
      <c r="A50" s="11"/>
      <c r="B50" s="11"/>
      <c r="C50" s="11"/>
      <c r="D50" s="12"/>
      <c r="E50" s="8" t="str">
        <f aca="false">IF(D50="","",EDATE(D50,1))</f>
        <v/>
      </c>
      <c r="F50" s="13"/>
      <c r="G50" s="6"/>
      <c r="H50" s="6"/>
      <c r="I50" s="14"/>
      <c r="J50" s="15" t="str">
        <f aca="false">IF(F50="","",F50*G50)</f>
        <v/>
      </c>
      <c r="K50" s="15" t="str">
        <f aca="false">IF(F50="","",F50-J50)</f>
        <v/>
      </c>
      <c r="L50" s="15" t="str">
        <f aca="false">IF(OR(K50="",I50=""),"",PMT(H50/12,I50,-K50))</f>
        <v/>
      </c>
      <c r="M50" s="15" t="str">
        <f aca="false">IF(F50="","",IF(C50="Dead",0,F50*C5))</f>
        <v/>
      </c>
      <c r="N50" s="15" t="str">
        <f aca="false">IF(F50="","",IF(C50="Dead",0,F50*C6))</f>
        <v/>
      </c>
      <c r="O50" s="15" t="str">
        <f aca="false">IF(OR(F50="",I50=""),"",IF(C50="Dead",0,I50*PMT(C7/12,I50,-F50)-F50))</f>
        <v/>
      </c>
      <c r="P50" s="15" t="str">
        <f aca="false">IF(F50="","",IF(C50&lt;&gt;"Closed",0,SUMIF('Referral Fees'!I11:BP11,"&lt;="&amp;Q50,'Referral Fees'!I50:BP50)))</f>
        <v/>
      </c>
      <c r="Q50" s="16" t="str">
        <f aca="false">IF(F50="","",IF(C50&lt;&gt;"Closed",0,IF(T50="",0,IF(T50&lt;=0,0,IF(T50&gt;I50,I50,T50)))))</f>
        <v/>
      </c>
      <c r="R50" s="17" t="str">
        <f aca="false">IF(C50&lt;&gt;"Closed","",IF(OR(E50="",I50=""),"",IF(Q50&gt;=I50,"Paid off",EDATE(E50,Q50))))</f>
        <v/>
      </c>
      <c r="S50" s="16" t="str">
        <f aca="false">IF(OR(F50="",E50=""),"",(YEAR(C8)-YEAR(E50))*12+MONTH(C8)-MONTH(E50))</f>
        <v/>
      </c>
      <c r="T50" s="16" t="str">
        <f aca="false">IF(S50="","",S50+IF(EDATE(E50,S50)&lt;=C8,1,0))</f>
        <v/>
      </c>
      <c r="U50" s="18" t="str">
        <f aca="false">IF(D50="","",DATE(YEAR(D50),MONTH(D50),1))</f>
        <v/>
      </c>
      <c r="V50" s="15" t="str">
        <f aca="false">IF(F50="","",M50+N50)</f>
        <v/>
      </c>
      <c r="W50" s="15" t="n">
        <f aca="false">IF(C50="Closed",SUM(V50),0)</f>
        <v>0</v>
      </c>
      <c r="X50" s="15" t="n">
        <f aca="false">IF(C50="Pipeline",SUM(V50),0)</f>
        <v>0</v>
      </c>
      <c r="Y50" s="16" t="str">
        <f aca="false">IF(C50="Pipeline",COUNTIF(C12:C50,"Pipeline"),"")</f>
        <v/>
      </c>
    </row>
    <row r="51" customFormat="false" ht="15" hidden="false" customHeight="false" outlineLevel="0" collapsed="false">
      <c r="A51" s="11"/>
      <c r="B51" s="11"/>
      <c r="C51" s="11"/>
      <c r="D51" s="12"/>
      <c r="E51" s="8" t="str">
        <f aca="false">IF(D51="","",EDATE(D51,1))</f>
        <v/>
      </c>
      <c r="F51" s="13"/>
      <c r="G51" s="6"/>
      <c r="H51" s="6"/>
      <c r="I51" s="14"/>
      <c r="J51" s="15" t="str">
        <f aca="false">IF(F51="","",F51*G51)</f>
        <v/>
      </c>
      <c r="K51" s="15" t="str">
        <f aca="false">IF(F51="","",F51-J51)</f>
        <v/>
      </c>
      <c r="L51" s="15" t="str">
        <f aca="false">IF(OR(K51="",I51=""),"",PMT(H51/12,I51,-K51))</f>
        <v/>
      </c>
      <c r="M51" s="15" t="str">
        <f aca="false">IF(F51="","",IF(C51="Dead",0,F51*C5))</f>
        <v/>
      </c>
      <c r="N51" s="15" t="str">
        <f aca="false">IF(F51="","",IF(C51="Dead",0,F51*C6))</f>
        <v/>
      </c>
      <c r="O51" s="15" t="str">
        <f aca="false">IF(OR(F51="",I51=""),"",IF(C51="Dead",0,I51*PMT(C7/12,I51,-F51)-F51))</f>
        <v/>
      </c>
      <c r="P51" s="15" t="str">
        <f aca="false">IF(F51="","",IF(C51&lt;&gt;"Closed",0,SUMIF('Referral Fees'!I11:BP11,"&lt;="&amp;Q51,'Referral Fees'!I51:BP51)))</f>
        <v/>
      </c>
      <c r="Q51" s="16" t="str">
        <f aca="false">IF(F51="","",IF(C51&lt;&gt;"Closed",0,IF(T51="",0,IF(T51&lt;=0,0,IF(T51&gt;I51,I51,T51)))))</f>
        <v/>
      </c>
      <c r="R51" s="17" t="str">
        <f aca="false">IF(C51&lt;&gt;"Closed","",IF(OR(E51="",I51=""),"",IF(Q51&gt;=I51,"Paid off",EDATE(E51,Q51))))</f>
        <v/>
      </c>
      <c r="S51" s="16" t="str">
        <f aca="false">IF(OR(F51="",E51=""),"",(YEAR(C8)-YEAR(E51))*12+MONTH(C8)-MONTH(E51))</f>
        <v/>
      </c>
      <c r="T51" s="16" t="str">
        <f aca="false">IF(S51="","",S51+IF(EDATE(E51,S51)&lt;=C8,1,0))</f>
        <v/>
      </c>
      <c r="U51" s="18" t="str">
        <f aca="false">IF(D51="","",DATE(YEAR(D51),MONTH(D51),1))</f>
        <v/>
      </c>
      <c r="V51" s="15" t="str">
        <f aca="false">IF(F51="","",M51+N51)</f>
        <v/>
      </c>
      <c r="W51" s="15" t="n">
        <f aca="false">IF(C51="Closed",SUM(V51),0)</f>
        <v>0</v>
      </c>
      <c r="X51" s="15" t="n">
        <f aca="false">IF(C51="Pipeline",SUM(V51),0)</f>
        <v>0</v>
      </c>
      <c r="Y51" s="16" t="str">
        <f aca="false">IF(C51="Pipeline",COUNTIF(C12:C51,"Pipeline"),"")</f>
        <v/>
      </c>
    </row>
    <row r="52" customFormat="false" ht="15" hidden="false" customHeight="false" outlineLevel="0" collapsed="false">
      <c r="A52" s="11"/>
      <c r="B52" s="11"/>
      <c r="C52" s="11"/>
      <c r="D52" s="12"/>
      <c r="E52" s="8" t="str">
        <f aca="false">IF(D52="","",EDATE(D52,1))</f>
        <v/>
      </c>
      <c r="F52" s="13"/>
      <c r="G52" s="6"/>
      <c r="H52" s="6"/>
      <c r="I52" s="14"/>
      <c r="J52" s="15" t="str">
        <f aca="false">IF(F52="","",F52*G52)</f>
        <v/>
      </c>
      <c r="K52" s="15" t="str">
        <f aca="false">IF(F52="","",F52-J52)</f>
        <v/>
      </c>
      <c r="L52" s="15" t="str">
        <f aca="false">IF(OR(K52="",I52=""),"",PMT(H52/12,I52,-K52))</f>
        <v/>
      </c>
      <c r="M52" s="15" t="str">
        <f aca="false">IF(F52="","",IF(C52="Dead",0,F52*C5))</f>
        <v/>
      </c>
      <c r="N52" s="15" t="str">
        <f aca="false">IF(F52="","",IF(C52="Dead",0,F52*C6))</f>
        <v/>
      </c>
      <c r="O52" s="15" t="str">
        <f aca="false">IF(OR(F52="",I52=""),"",IF(C52="Dead",0,I52*PMT(C7/12,I52,-F52)-F52))</f>
        <v/>
      </c>
      <c r="P52" s="15" t="str">
        <f aca="false">IF(F52="","",IF(C52&lt;&gt;"Closed",0,SUMIF('Referral Fees'!I11:BP11,"&lt;="&amp;Q52,'Referral Fees'!I52:BP52)))</f>
        <v/>
      </c>
      <c r="Q52" s="16" t="str">
        <f aca="false">IF(F52="","",IF(C52&lt;&gt;"Closed",0,IF(T52="",0,IF(T52&lt;=0,0,IF(T52&gt;I52,I52,T52)))))</f>
        <v/>
      </c>
      <c r="R52" s="17" t="str">
        <f aca="false">IF(C52&lt;&gt;"Closed","",IF(OR(E52="",I52=""),"",IF(Q52&gt;=I52,"Paid off",EDATE(E52,Q52))))</f>
        <v/>
      </c>
      <c r="S52" s="16" t="str">
        <f aca="false">IF(OR(F52="",E52=""),"",(YEAR(C8)-YEAR(E52))*12+MONTH(C8)-MONTH(E52))</f>
        <v/>
      </c>
      <c r="T52" s="16" t="str">
        <f aca="false">IF(S52="","",S52+IF(EDATE(E52,S52)&lt;=C8,1,0))</f>
        <v/>
      </c>
      <c r="U52" s="18" t="str">
        <f aca="false">IF(D52="","",DATE(YEAR(D52),MONTH(D52),1))</f>
        <v/>
      </c>
      <c r="V52" s="15" t="str">
        <f aca="false">IF(F52="","",M52+N52)</f>
        <v/>
      </c>
      <c r="W52" s="15" t="n">
        <f aca="false">IF(C52="Closed",SUM(V52),0)</f>
        <v>0</v>
      </c>
      <c r="X52" s="15" t="n">
        <f aca="false">IF(C52="Pipeline",SUM(V52),0)</f>
        <v>0</v>
      </c>
      <c r="Y52" s="16" t="str">
        <f aca="false">IF(C52="Pipeline",COUNTIF(C12:C52,"Pipeline"),"")</f>
        <v/>
      </c>
    </row>
    <row r="53" customFormat="false" ht="15" hidden="false" customHeight="false" outlineLevel="0" collapsed="false">
      <c r="A53" s="11"/>
      <c r="B53" s="11"/>
      <c r="C53" s="11"/>
      <c r="D53" s="12"/>
      <c r="E53" s="8" t="str">
        <f aca="false">IF(D53="","",EDATE(D53,1))</f>
        <v/>
      </c>
      <c r="F53" s="13"/>
      <c r="G53" s="6"/>
      <c r="H53" s="6"/>
      <c r="I53" s="14"/>
      <c r="J53" s="15" t="str">
        <f aca="false">IF(F53="","",F53*G53)</f>
        <v/>
      </c>
      <c r="K53" s="15" t="str">
        <f aca="false">IF(F53="","",F53-J53)</f>
        <v/>
      </c>
      <c r="L53" s="15" t="str">
        <f aca="false">IF(OR(K53="",I53=""),"",PMT(H53/12,I53,-K53))</f>
        <v/>
      </c>
      <c r="M53" s="15" t="str">
        <f aca="false">IF(F53="","",IF(C53="Dead",0,F53*C5))</f>
        <v/>
      </c>
      <c r="N53" s="15" t="str">
        <f aca="false">IF(F53="","",IF(C53="Dead",0,F53*C6))</f>
        <v/>
      </c>
      <c r="O53" s="15" t="str">
        <f aca="false">IF(OR(F53="",I53=""),"",IF(C53="Dead",0,I53*PMT(C7/12,I53,-F53)-F53))</f>
        <v/>
      </c>
      <c r="P53" s="15" t="str">
        <f aca="false">IF(F53="","",IF(C53&lt;&gt;"Closed",0,SUMIF('Referral Fees'!I11:BP11,"&lt;="&amp;Q53,'Referral Fees'!I53:BP53)))</f>
        <v/>
      </c>
      <c r="Q53" s="16" t="str">
        <f aca="false">IF(F53="","",IF(C53&lt;&gt;"Closed",0,IF(T53="",0,IF(T53&lt;=0,0,IF(T53&gt;I53,I53,T53)))))</f>
        <v/>
      </c>
      <c r="R53" s="17" t="str">
        <f aca="false">IF(C53&lt;&gt;"Closed","",IF(OR(E53="",I53=""),"",IF(Q53&gt;=I53,"Paid off",EDATE(E53,Q53))))</f>
        <v/>
      </c>
      <c r="S53" s="16" t="str">
        <f aca="false">IF(OR(F53="",E53=""),"",(YEAR(C8)-YEAR(E53))*12+MONTH(C8)-MONTH(E53))</f>
        <v/>
      </c>
      <c r="T53" s="16" t="str">
        <f aca="false">IF(S53="","",S53+IF(EDATE(E53,S53)&lt;=C8,1,0))</f>
        <v/>
      </c>
      <c r="U53" s="18" t="str">
        <f aca="false">IF(D53="","",DATE(YEAR(D53),MONTH(D53),1))</f>
        <v/>
      </c>
      <c r="V53" s="15" t="str">
        <f aca="false">IF(F53="","",M53+N53)</f>
        <v/>
      </c>
      <c r="W53" s="15" t="n">
        <f aca="false">IF(C53="Closed",SUM(V53),0)</f>
        <v>0</v>
      </c>
      <c r="X53" s="15" t="n">
        <f aca="false">IF(C53="Pipeline",SUM(V53),0)</f>
        <v>0</v>
      </c>
      <c r="Y53" s="16" t="str">
        <f aca="false">IF(C53="Pipeline",COUNTIF(C12:C53,"Pipeline"),"")</f>
        <v/>
      </c>
    </row>
    <row r="54" customFormat="false" ht="15" hidden="false" customHeight="false" outlineLevel="0" collapsed="false">
      <c r="A54" s="11"/>
      <c r="B54" s="11"/>
      <c r="C54" s="11"/>
      <c r="D54" s="12"/>
      <c r="E54" s="8" t="str">
        <f aca="false">IF(D54="","",EDATE(D54,1))</f>
        <v/>
      </c>
      <c r="F54" s="13"/>
      <c r="G54" s="6"/>
      <c r="H54" s="6"/>
      <c r="I54" s="14"/>
      <c r="J54" s="15" t="str">
        <f aca="false">IF(F54="","",F54*G54)</f>
        <v/>
      </c>
      <c r="K54" s="15" t="str">
        <f aca="false">IF(F54="","",F54-J54)</f>
        <v/>
      </c>
      <c r="L54" s="15" t="str">
        <f aca="false">IF(OR(K54="",I54=""),"",PMT(H54/12,I54,-K54))</f>
        <v/>
      </c>
      <c r="M54" s="15" t="str">
        <f aca="false">IF(F54="","",IF(C54="Dead",0,F54*C5))</f>
        <v/>
      </c>
      <c r="N54" s="15" t="str">
        <f aca="false">IF(F54="","",IF(C54="Dead",0,F54*C6))</f>
        <v/>
      </c>
      <c r="O54" s="15" t="str">
        <f aca="false">IF(OR(F54="",I54=""),"",IF(C54="Dead",0,I54*PMT(C7/12,I54,-F54)-F54))</f>
        <v/>
      </c>
      <c r="P54" s="15" t="str">
        <f aca="false">IF(F54="","",IF(C54&lt;&gt;"Closed",0,SUMIF('Referral Fees'!I11:BP11,"&lt;="&amp;Q54,'Referral Fees'!I54:BP54)))</f>
        <v/>
      </c>
      <c r="Q54" s="16" t="str">
        <f aca="false">IF(F54="","",IF(C54&lt;&gt;"Closed",0,IF(T54="",0,IF(T54&lt;=0,0,IF(T54&gt;I54,I54,T54)))))</f>
        <v/>
      </c>
      <c r="R54" s="17" t="str">
        <f aca="false">IF(C54&lt;&gt;"Closed","",IF(OR(E54="",I54=""),"",IF(Q54&gt;=I54,"Paid off",EDATE(E54,Q54))))</f>
        <v/>
      </c>
      <c r="S54" s="16" t="str">
        <f aca="false">IF(OR(F54="",E54=""),"",(YEAR(C8)-YEAR(E54))*12+MONTH(C8)-MONTH(E54))</f>
        <v/>
      </c>
      <c r="T54" s="16" t="str">
        <f aca="false">IF(S54="","",S54+IF(EDATE(E54,S54)&lt;=C8,1,0))</f>
        <v/>
      </c>
      <c r="U54" s="18" t="str">
        <f aca="false">IF(D54="","",DATE(YEAR(D54),MONTH(D54),1))</f>
        <v/>
      </c>
      <c r="V54" s="15" t="str">
        <f aca="false">IF(F54="","",M54+N54)</f>
        <v/>
      </c>
      <c r="W54" s="15" t="n">
        <f aca="false">IF(C54="Closed",SUM(V54),0)</f>
        <v>0</v>
      </c>
      <c r="X54" s="15" t="n">
        <f aca="false">IF(C54="Pipeline",SUM(V54),0)</f>
        <v>0</v>
      </c>
      <c r="Y54" s="16" t="str">
        <f aca="false">IF(C54="Pipeline",COUNTIF(C12:C54,"Pipeline"),"")</f>
        <v/>
      </c>
    </row>
    <row r="55" customFormat="false" ht="15" hidden="false" customHeight="false" outlineLevel="0" collapsed="false">
      <c r="A55" s="11"/>
      <c r="B55" s="11"/>
      <c r="C55" s="11"/>
      <c r="D55" s="12"/>
      <c r="E55" s="8" t="str">
        <f aca="false">IF(D55="","",EDATE(D55,1))</f>
        <v/>
      </c>
      <c r="F55" s="13"/>
      <c r="G55" s="6"/>
      <c r="H55" s="6"/>
      <c r="I55" s="14"/>
      <c r="J55" s="15" t="str">
        <f aca="false">IF(F55="","",F55*G55)</f>
        <v/>
      </c>
      <c r="K55" s="15" t="str">
        <f aca="false">IF(F55="","",F55-J55)</f>
        <v/>
      </c>
      <c r="L55" s="15" t="str">
        <f aca="false">IF(OR(K55="",I55=""),"",PMT(H55/12,I55,-K55))</f>
        <v/>
      </c>
      <c r="M55" s="15" t="str">
        <f aca="false">IF(F55="","",IF(C55="Dead",0,F55*C5))</f>
        <v/>
      </c>
      <c r="N55" s="15" t="str">
        <f aca="false">IF(F55="","",IF(C55="Dead",0,F55*C6))</f>
        <v/>
      </c>
      <c r="O55" s="15" t="str">
        <f aca="false">IF(OR(F55="",I55=""),"",IF(C55="Dead",0,I55*PMT(C7/12,I55,-F55)-F55))</f>
        <v/>
      </c>
      <c r="P55" s="15" t="str">
        <f aca="false">IF(F55="","",IF(C55&lt;&gt;"Closed",0,SUMIF('Referral Fees'!I11:BP11,"&lt;="&amp;Q55,'Referral Fees'!I55:BP55)))</f>
        <v/>
      </c>
      <c r="Q55" s="16" t="str">
        <f aca="false">IF(F55="","",IF(C55&lt;&gt;"Closed",0,IF(T55="",0,IF(T55&lt;=0,0,IF(T55&gt;I55,I55,T55)))))</f>
        <v/>
      </c>
      <c r="R55" s="17" t="str">
        <f aca="false">IF(C55&lt;&gt;"Closed","",IF(OR(E55="",I55=""),"",IF(Q55&gt;=I55,"Paid off",EDATE(E55,Q55))))</f>
        <v/>
      </c>
      <c r="S55" s="16" t="str">
        <f aca="false">IF(OR(F55="",E55=""),"",(YEAR(C8)-YEAR(E55))*12+MONTH(C8)-MONTH(E55))</f>
        <v/>
      </c>
      <c r="T55" s="16" t="str">
        <f aca="false">IF(S55="","",S55+IF(EDATE(E55,S55)&lt;=C8,1,0))</f>
        <v/>
      </c>
      <c r="U55" s="18" t="str">
        <f aca="false">IF(D55="","",DATE(YEAR(D55),MONTH(D55),1))</f>
        <v/>
      </c>
      <c r="V55" s="15" t="str">
        <f aca="false">IF(F55="","",M55+N55)</f>
        <v/>
      </c>
      <c r="W55" s="15" t="n">
        <f aca="false">IF(C55="Closed",SUM(V55),0)</f>
        <v>0</v>
      </c>
      <c r="X55" s="15" t="n">
        <f aca="false">IF(C55="Pipeline",SUM(V55),0)</f>
        <v>0</v>
      </c>
      <c r="Y55" s="16" t="str">
        <f aca="false">IF(C55="Pipeline",COUNTIF(C12:C55,"Pipeline"),"")</f>
        <v/>
      </c>
    </row>
    <row r="56" customFormat="false" ht="15" hidden="false" customHeight="false" outlineLevel="0" collapsed="false">
      <c r="A56" s="11"/>
      <c r="B56" s="11"/>
      <c r="C56" s="11"/>
      <c r="D56" s="12"/>
      <c r="E56" s="8" t="str">
        <f aca="false">IF(D56="","",EDATE(D56,1))</f>
        <v/>
      </c>
      <c r="F56" s="13"/>
      <c r="G56" s="6"/>
      <c r="H56" s="6"/>
      <c r="I56" s="14"/>
      <c r="J56" s="15" t="str">
        <f aca="false">IF(F56="","",F56*G56)</f>
        <v/>
      </c>
      <c r="K56" s="15" t="str">
        <f aca="false">IF(F56="","",F56-J56)</f>
        <v/>
      </c>
      <c r="L56" s="15" t="str">
        <f aca="false">IF(OR(K56="",I56=""),"",PMT(H56/12,I56,-K56))</f>
        <v/>
      </c>
      <c r="M56" s="15" t="str">
        <f aca="false">IF(F56="","",IF(C56="Dead",0,F56*C5))</f>
        <v/>
      </c>
      <c r="N56" s="15" t="str">
        <f aca="false">IF(F56="","",IF(C56="Dead",0,F56*C6))</f>
        <v/>
      </c>
      <c r="O56" s="15" t="str">
        <f aca="false">IF(OR(F56="",I56=""),"",IF(C56="Dead",0,I56*PMT(C7/12,I56,-F56)-F56))</f>
        <v/>
      </c>
      <c r="P56" s="15" t="str">
        <f aca="false">IF(F56="","",IF(C56&lt;&gt;"Closed",0,SUMIF('Referral Fees'!I11:BP11,"&lt;="&amp;Q56,'Referral Fees'!I56:BP56)))</f>
        <v/>
      </c>
      <c r="Q56" s="16" t="str">
        <f aca="false">IF(F56="","",IF(C56&lt;&gt;"Closed",0,IF(T56="",0,IF(T56&lt;=0,0,IF(T56&gt;I56,I56,T56)))))</f>
        <v/>
      </c>
      <c r="R56" s="17" t="str">
        <f aca="false">IF(C56&lt;&gt;"Closed","",IF(OR(E56="",I56=""),"",IF(Q56&gt;=I56,"Paid off",EDATE(E56,Q56))))</f>
        <v/>
      </c>
      <c r="S56" s="16" t="str">
        <f aca="false">IF(OR(F56="",E56=""),"",(YEAR(C8)-YEAR(E56))*12+MONTH(C8)-MONTH(E56))</f>
        <v/>
      </c>
      <c r="T56" s="16" t="str">
        <f aca="false">IF(S56="","",S56+IF(EDATE(E56,S56)&lt;=C8,1,0))</f>
        <v/>
      </c>
      <c r="U56" s="18" t="str">
        <f aca="false">IF(D56="","",DATE(YEAR(D56),MONTH(D56),1))</f>
        <v/>
      </c>
      <c r="V56" s="15" t="str">
        <f aca="false">IF(F56="","",M56+N56)</f>
        <v/>
      </c>
      <c r="W56" s="15" t="n">
        <f aca="false">IF(C56="Closed",SUM(V56),0)</f>
        <v>0</v>
      </c>
      <c r="X56" s="15" t="n">
        <f aca="false">IF(C56="Pipeline",SUM(V56),0)</f>
        <v>0</v>
      </c>
      <c r="Y56" s="16" t="str">
        <f aca="false">IF(C56="Pipeline",COUNTIF(C12:C56,"Pipeline"),"")</f>
        <v/>
      </c>
    </row>
    <row r="57" customFormat="false" ht="15" hidden="false" customHeight="false" outlineLevel="0" collapsed="false">
      <c r="A57" s="11"/>
      <c r="B57" s="11"/>
      <c r="C57" s="11"/>
      <c r="D57" s="12"/>
      <c r="E57" s="8" t="str">
        <f aca="false">IF(D57="","",EDATE(D57,1))</f>
        <v/>
      </c>
      <c r="F57" s="13"/>
      <c r="G57" s="6"/>
      <c r="H57" s="6"/>
      <c r="I57" s="14"/>
      <c r="J57" s="15" t="str">
        <f aca="false">IF(F57="","",F57*G57)</f>
        <v/>
      </c>
      <c r="K57" s="15" t="str">
        <f aca="false">IF(F57="","",F57-J57)</f>
        <v/>
      </c>
      <c r="L57" s="15" t="str">
        <f aca="false">IF(OR(K57="",I57=""),"",PMT(H57/12,I57,-K57))</f>
        <v/>
      </c>
      <c r="M57" s="15" t="str">
        <f aca="false">IF(F57="","",IF(C57="Dead",0,F57*C5))</f>
        <v/>
      </c>
      <c r="N57" s="15" t="str">
        <f aca="false">IF(F57="","",IF(C57="Dead",0,F57*C6))</f>
        <v/>
      </c>
      <c r="O57" s="15" t="str">
        <f aca="false">IF(OR(F57="",I57=""),"",IF(C57="Dead",0,I57*PMT(C7/12,I57,-F57)-F57))</f>
        <v/>
      </c>
      <c r="P57" s="15" t="str">
        <f aca="false">IF(F57="","",IF(C57&lt;&gt;"Closed",0,SUMIF('Referral Fees'!I11:BP11,"&lt;="&amp;Q57,'Referral Fees'!I57:BP57)))</f>
        <v/>
      </c>
      <c r="Q57" s="16" t="str">
        <f aca="false">IF(F57="","",IF(C57&lt;&gt;"Closed",0,IF(T57="",0,IF(T57&lt;=0,0,IF(T57&gt;I57,I57,T57)))))</f>
        <v/>
      </c>
      <c r="R57" s="17" t="str">
        <f aca="false">IF(C57&lt;&gt;"Closed","",IF(OR(E57="",I57=""),"",IF(Q57&gt;=I57,"Paid off",EDATE(E57,Q57))))</f>
        <v/>
      </c>
      <c r="S57" s="16" t="str">
        <f aca="false">IF(OR(F57="",E57=""),"",(YEAR(C8)-YEAR(E57))*12+MONTH(C8)-MONTH(E57))</f>
        <v/>
      </c>
      <c r="T57" s="16" t="str">
        <f aca="false">IF(S57="","",S57+IF(EDATE(E57,S57)&lt;=C8,1,0))</f>
        <v/>
      </c>
      <c r="U57" s="18" t="str">
        <f aca="false">IF(D57="","",DATE(YEAR(D57),MONTH(D57),1))</f>
        <v/>
      </c>
      <c r="V57" s="15" t="str">
        <f aca="false">IF(F57="","",M57+N57)</f>
        <v/>
      </c>
      <c r="W57" s="15" t="n">
        <f aca="false">IF(C57="Closed",SUM(V57),0)</f>
        <v>0</v>
      </c>
      <c r="X57" s="15" t="n">
        <f aca="false">IF(C57="Pipeline",SUM(V57),0)</f>
        <v>0</v>
      </c>
      <c r="Y57" s="16" t="str">
        <f aca="false">IF(C57="Pipeline",COUNTIF(C12:C57,"Pipeline"),"")</f>
        <v/>
      </c>
    </row>
    <row r="58" customFormat="false" ht="15" hidden="false" customHeight="false" outlineLevel="0" collapsed="false">
      <c r="A58" s="11"/>
      <c r="B58" s="11"/>
      <c r="C58" s="11"/>
      <c r="D58" s="12"/>
      <c r="E58" s="8" t="str">
        <f aca="false">IF(D58="","",EDATE(D58,1))</f>
        <v/>
      </c>
      <c r="F58" s="13"/>
      <c r="G58" s="6"/>
      <c r="H58" s="6"/>
      <c r="I58" s="14"/>
      <c r="J58" s="15" t="str">
        <f aca="false">IF(F58="","",F58*G58)</f>
        <v/>
      </c>
      <c r="K58" s="15" t="str">
        <f aca="false">IF(F58="","",F58-J58)</f>
        <v/>
      </c>
      <c r="L58" s="15" t="str">
        <f aca="false">IF(OR(K58="",I58=""),"",PMT(H58/12,I58,-K58))</f>
        <v/>
      </c>
      <c r="M58" s="15" t="str">
        <f aca="false">IF(F58="","",IF(C58="Dead",0,F58*C5))</f>
        <v/>
      </c>
      <c r="N58" s="15" t="str">
        <f aca="false">IF(F58="","",IF(C58="Dead",0,F58*C6))</f>
        <v/>
      </c>
      <c r="O58" s="15" t="str">
        <f aca="false">IF(OR(F58="",I58=""),"",IF(C58="Dead",0,I58*PMT(C7/12,I58,-F58)-F58))</f>
        <v/>
      </c>
      <c r="P58" s="15" t="str">
        <f aca="false">IF(F58="","",IF(C58&lt;&gt;"Closed",0,SUMIF('Referral Fees'!I11:BP11,"&lt;="&amp;Q58,'Referral Fees'!I58:BP58)))</f>
        <v/>
      </c>
      <c r="Q58" s="16" t="str">
        <f aca="false">IF(F58="","",IF(C58&lt;&gt;"Closed",0,IF(T58="",0,IF(T58&lt;=0,0,IF(T58&gt;I58,I58,T58)))))</f>
        <v/>
      </c>
      <c r="R58" s="17" t="str">
        <f aca="false">IF(C58&lt;&gt;"Closed","",IF(OR(E58="",I58=""),"",IF(Q58&gt;=I58,"Paid off",EDATE(E58,Q58))))</f>
        <v/>
      </c>
      <c r="S58" s="16" t="str">
        <f aca="false">IF(OR(F58="",E58=""),"",(YEAR(C8)-YEAR(E58))*12+MONTH(C8)-MONTH(E58))</f>
        <v/>
      </c>
      <c r="T58" s="16" t="str">
        <f aca="false">IF(S58="","",S58+IF(EDATE(E58,S58)&lt;=C8,1,0))</f>
        <v/>
      </c>
      <c r="U58" s="18" t="str">
        <f aca="false">IF(D58="","",DATE(YEAR(D58),MONTH(D58),1))</f>
        <v/>
      </c>
      <c r="V58" s="15" t="str">
        <f aca="false">IF(F58="","",M58+N58)</f>
        <v/>
      </c>
      <c r="W58" s="15" t="n">
        <f aca="false">IF(C58="Closed",SUM(V58),0)</f>
        <v>0</v>
      </c>
      <c r="X58" s="15" t="n">
        <f aca="false">IF(C58="Pipeline",SUM(V58),0)</f>
        <v>0</v>
      </c>
      <c r="Y58" s="16" t="str">
        <f aca="false">IF(C58="Pipeline",COUNTIF(C12:C58,"Pipeline"),"")</f>
        <v/>
      </c>
    </row>
    <row r="59" customFormat="false" ht="15" hidden="false" customHeight="false" outlineLevel="0" collapsed="false">
      <c r="A59" s="11"/>
      <c r="B59" s="11"/>
      <c r="C59" s="11"/>
      <c r="D59" s="12"/>
      <c r="E59" s="8" t="str">
        <f aca="false">IF(D59="","",EDATE(D59,1))</f>
        <v/>
      </c>
      <c r="F59" s="13"/>
      <c r="G59" s="6"/>
      <c r="H59" s="6"/>
      <c r="I59" s="14"/>
      <c r="J59" s="15" t="str">
        <f aca="false">IF(F59="","",F59*G59)</f>
        <v/>
      </c>
      <c r="K59" s="15" t="str">
        <f aca="false">IF(F59="","",F59-J59)</f>
        <v/>
      </c>
      <c r="L59" s="15" t="str">
        <f aca="false">IF(OR(K59="",I59=""),"",PMT(H59/12,I59,-K59))</f>
        <v/>
      </c>
      <c r="M59" s="15" t="str">
        <f aca="false">IF(F59="","",IF(C59="Dead",0,F59*C5))</f>
        <v/>
      </c>
      <c r="N59" s="15" t="str">
        <f aca="false">IF(F59="","",IF(C59="Dead",0,F59*C6))</f>
        <v/>
      </c>
      <c r="O59" s="15" t="str">
        <f aca="false">IF(OR(F59="",I59=""),"",IF(C59="Dead",0,I59*PMT(C7/12,I59,-F59)-F59))</f>
        <v/>
      </c>
      <c r="P59" s="15" t="str">
        <f aca="false">IF(F59="","",IF(C59&lt;&gt;"Closed",0,SUMIF('Referral Fees'!I11:BP11,"&lt;="&amp;Q59,'Referral Fees'!I59:BP59)))</f>
        <v/>
      </c>
      <c r="Q59" s="16" t="str">
        <f aca="false">IF(F59="","",IF(C59&lt;&gt;"Closed",0,IF(T59="",0,IF(T59&lt;=0,0,IF(T59&gt;I59,I59,T59)))))</f>
        <v/>
      </c>
      <c r="R59" s="17" t="str">
        <f aca="false">IF(C59&lt;&gt;"Closed","",IF(OR(E59="",I59=""),"",IF(Q59&gt;=I59,"Paid off",EDATE(E59,Q59))))</f>
        <v/>
      </c>
      <c r="S59" s="16" t="str">
        <f aca="false">IF(OR(F59="",E59=""),"",(YEAR(C8)-YEAR(E59))*12+MONTH(C8)-MONTH(E59))</f>
        <v/>
      </c>
      <c r="T59" s="16" t="str">
        <f aca="false">IF(S59="","",S59+IF(EDATE(E59,S59)&lt;=C8,1,0))</f>
        <v/>
      </c>
      <c r="U59" s="18" t="str">
        <f aca="false">IF(D59="","",DATE(YEAR(D59),MONTH(D59),1))</f>
        <v/>
      </c>
      <c r="V59" s="15" t="str">
        <f aca="false">IF(F59="","",M59+N59)</f>
        <v/>
      </c>
      <c r="W59" s="15" t="n">
        <f aca="false">IF(C59="Closed",SUM(V59),0)</f>
        <v>0</v>
      </c>
      <c r="X59" s="15" t="n">
        <f aca="false">IF(C59="Pipeline",SUM(V59),0)</f>
        <v>0</v>
      </c>
      <c r="Y59" s="16" t="str">
        <f aca="false">IF(C59="Pipeline",COUNTIF(C12:C59,"Pipeline"),"")</f>
        <v/>
      </c>
    </row>
    <row r="60" customFormat="false" ht="15" hidden="false" customHeight="false" outlineLevel="0" collapsed="false">
      <c r="A60" s="11"/>
      <c r="B60" s="11"/>
      <c r="C60" s="11"/>
      <c r="D60" s="12"/>
      <c r="E60" s="8" t="str">
        <f aca="false">IF(D60="","",EDATE(D60,1))</f>
        <v/>
      </c>
      <c r="F60" s="13"/>
      <c r="G60" s="6"/>
      <c r="H60" s="6"/>
      <c r="I60" s="14"/>
      <c r="J60" s="15" t="str">
        <f aca="false">IF(F60="","",F60*G60)</f>
        <v/>
      </c>
      <c r="K60" s="15" t="str">
        <f aca="false">IF(F60="","",F60-J60)</f>
        <v/>
      </c>
      <c r="L60" s="15" t="str">
        <f aca="false">IF(OR(K60="",I60=""),"",PMT(H60/12,I60,-K60))</f>
        <v/>
      </c>
      <c r="M60" s="15" t="str">
        <f aca="false">IF(F60="","",IF(C60="Dead",0,F60*C5))</f>
        <v/>
      </c>
      <c r="N60" s="15" t="str">
        <f aca="false">IF(F60="","",IF(C60="Dead",0,F60*C6))</f>
        <v/>
      </c>
      <c r="O60" s="15" t="str">
        <f aca="false">IF(OR(F60="",I60=""),"",IF(C60="Dead",0,I60*PMT(C7/12,I60,-F60)-F60))</f>
        <v/>
      </c>
      <c r="P60" s="15" t="str">
        <f aca="false">IF(F60="","",IF(C60&lt;&gt;"Closed",0,SUMIF('Referral Fees'!I11:BP11,"&lt;="&amp;Q60,'Referral Fees'!I60:BP60)))</f>
        <v/>
      </c>
      <c r="Q60" s="16" t="str">
        <f aca="false">IF(F60="","",IF(C60&lt;&gt;"Closed",0,IF(T60="",0,IF(T60&lt;=0,0,IF(T60&gt;I60,I60,T60)))))</f>
        <v/>
      </c>
      <c r="R60" s="17" t="str">
        <f aca="false">IF(C60&lt;&gt;"Closed","",IF(OR(E60="",I60=""),"",IF(Q60&gt;=I60,"Paid off",EDATE(E60,Q60))))</f>
        <v/>
      </c>
      <c r="S60" s="16" t="str">
        <f aca="false">IF(OR(F60="",E60=""),"",(YEAR(C8)-YEAR(E60))*12+MONTH(C8)-MONTH(E60))</f>
        <v/>
      </c>
      <c r="T60" s="16" t="str">
        <f aca="false">IF(S60="","",S60+IF(EDATE(E60,S60)&lt;=C8,1,0))</f>
        <v/>
      </c>
      <c r="U60" s="18" t="str">
        <f aca="false">IF(D60="","",DATE(YEAR(D60),MONTH(D60),1))</f>
        <v/>
      </c>
      <c r="V60" s="15" t="str">
        <f aca="false">IF(F60="","",M60+N60)</f>
        <v/>
      </c>
      <c r="W60" s="15" t="n">
        <f aca="false">IF(C60="Closed",SUM(V60),0)</f>
        <v>0</v>
      </c>
      <c r="X60" s="15" t="n">
        <f aca="false">IF(C60="Pipeline",SUM(V60),0)</f>
        <v>0</v>
      </c>
      <c r="Y60" s="16" t="str">
        <f aca="false">IF(C60="Pipeline",COUNTIF(C12:C60,"Pipeline"),"")</f>
        <v/>
      </c>
    </row>
    <row r="61" customFormat="false" ht="15" hidden="false" customHeight="false" outlineLevel="0" collapsed="false">
      <c r="A61" s="11"/>
      <c r="B61" s="11"/>
      <c r="C61" s="11"/>
      <c r="D61" s="12"/>
      <c r="E61" s="8" t="str">
        <f aca="false">IF(D61="","",EDATE(D61,1))</f>
        <v/>
      </c>
      <c r="F61" s="13"/>
      <c r="G61" s="6"/>
      <c r="H61" s="6"/>
      <c r="I61" s="14"/>
      <c r="J61" s="15" t="str">
        <f aca="false">IF(F61="","",F61*G61)</f>
        <v/>
      </c>
      <c r="K61" s="15" t="str">
        <f aca="false">IF(F61="","",F61-J61)</f>
        <v/>
      </c>
      <c r="L61" s="15" t="str">
        <f aca="false">IF(OR(K61="",I61=""),"",PMT(H61/12,I61,-K61))</f>
        <v/>
      </c>
      <c r="M61" s="15" t="str">
        <f aca="false">IF(F61="","",IF(C61="Dead",0,F61*C5))</f>
        <v/>
      </c>
      <c r="N61" s="15" t="str">
        <f aca="false">IF(F61="","",IF(C61="Dead",0,F61*C6))</f>
        <v/>
      </c>
      <c r="O61" s="15" t="str">
        <f aca="false">IF(OR(F61="",I61=""),"",IF(C61="Dead",0,I61*PMT(C7/12,I61,-F61)-F61))</f>
        <v/>
      </c>
      <c r="P61" s="15" t="str">
        <f aca="false">IF(F61="","",IF(C61&lt;&gt;"Closed",0,SUMIF('Referral Fees'!I11:BP11,"&lt;="&amp;Q61,'Referral Fees'!I61:BP61)))</f>
        <v/>
      </c>
      <c r="Q61" s="16" t="str">
        <f aca="false">IF(F61="","",IF(C61&lt;&gt;"Closed",0,IF(T61="",0,IF(T61&lt;=0,0,IF(T61&gt;I61,I61,T61)))))</f>
        <v/>
      </c>
      <c r="R61" s="17" t="str">
        <f aca="false">IF(C61&lt;&gt;"Closed","",IF(OR(E61="",I61=""),"",IF(Q61&gt;=I61,"Paid off",EDATE(E61,Q61))))</f>
        <v/>
      </c>
      <c r="S61" s="16" t="str">
        <f aca="false">IF(OR(F61="",E61=""),"",(YEAR(C8)-YEAR(E61))*12+MONTH(C8)-MONTH(E61))</f>
        <v/>
      </c>
      <c r="T61" s="16" t="str">
        <f aca="false">IF(S61="","",S61+IF(EDATE(E61,S61)&lt;=C8,1,0))</f>
        <v/>
      </c>
      <c r="U61" s="18" t="str">
        <f aca="false">IF(D61="","",DATE(YEAR(D61),MONTH(D61),1))</f>
        <v/>
      </c>
      <c r="V61" s="15" t="str">
        <f aca="false">IF(F61="","",M61+N61)</f>
        <v/>
      </c>
      <c r="W61" s="15" t="n">
        <f aca="false">IF(C61="Closed",SUM(V61),0)</f>
        <v>0</v>
      </c>
      <c r="X61" s="15" t="n">
        <f aca="false">IF(C61="Pipeline",SUM(V61),0)</f>
        <v>0</v>
      </c>
      <c r="Y61" s="16" t="str">
        <f aca="false">IF(C61="Pipeline",COUNTIF(C12:C61,"Pipeline"),"")</f>
        <v/>
      </c>
    </row>
    <row r="62" customFormat="false" ht="15" hidden="false" customHeight="false" outlineLevel="0" collapsed="false">
      <c r="A62" s="19" t="s">
        <v>43</v>
      </c>
      <c r="B62" s="20" t="s">
        <v>44</v>
      </c>
      <c r="C62" s="19"/>
      <c r="D62" s="19"/>
      <c r="E62" s="19"/>
      <c r="F62" s="21" t="n">
        <f aca="false">SUM(F12:F61)</f>
        <v>113627.43</v>
      </c>
      <c r="G62" s="19"/>
      <c r="H62" s="19"/>
      <c r="I62" s="19"/>
      <c r="J62" s="21" t="n">
        <f aca="false">SUM(J12:J61)</f>
        <v>0</v>
      </c>
      <c r="K62" s="21" t="n">
        <f aca="false">SUM(K12:K61)</f>
        <v>113627.43</v>
      </c>
      <c r="L62" s="19"/>
      <c r="M62" s="21" t="n">
        <f aca="false">SUM(M12:M61)</f>
        <v>1136.2743</v>
      </c>
      <c r="N62" s="21" t="n">
        <f aca="false">SUM(N12:N61)</f>
        <v>1136.2743</v>
      </c>
      <c r="O62" s="21" t="n">
        <f aca="false">SUM(O12:O61)</f>
        <v>1449.930413788</v>
      </c>
      <c r="P62" s="21" t="n">
        <f aca="false">SUM(P12:P61)</f>
        <v>31.511325241962</v>
      </c>
      <c r="Q62" s="19"/>
      <c r="R62" s="19"/>
    </row>
  </sheetData>
  <mergeCells count="6">
    <mergeCell ref="B4:C4"/>
    <mergeCell ref="E4:L4"/>
    <mergeCell ref="E5:L9"/>
    <mergeCell ref="A10:I10"/>
    <mergeCell ref="J10:R10"/>
    <mergeCell ref="S10:Y10"/>
  </mergeCells>
  <conditionalFormatting sqref="A12:A61">
    <cfRule type="expression" priority="2" aboveAverage="0" equalAverage="0" bottom="0" percent="0" rank="0" text="" dxfId="0">
      <formula>C12="Dead"</formula>
    </cfRule>
  </conditionalFormatting>
  <conditionalFormatting sqref="B12:B61">
    <cfRule type="expression" priority="3" aboveAverage="0" equalAverage="0" bottom="0" percent="0" rank="0" text="" dxfId="0">
      <formula>C12="Dead"</formula>
    </cfRule>
  </conditionalFormatting>
  <conditionalFormatting sqref="C12:C61">
    <cfRule type="expression" priority="4" aboveAverage="0" equalAverage="0" bottom="0" percent="0" rank="0" text="" dxfId="0">
      <formula>C12="Dead"</formula>
    </cfRule>
  </conditionalFormatting>
  <conditionalFormatting sqref="D12:D61">
    <cfRule type="expression" priority="5" aboveAverage="0" equalAverage="0" bottom="0" percent="0" rank="0" text="" dxfId="0">
      <formula>C12="Dead"</formula>
    </cfRule>
  </conditionalFormatting>
  <conditionalFormatting sqref="E12:E61">
    <cfRule type="expression" priority="6" aboveAverage="0" equalAverage="0" bottom="0" percent="0" rank="0" text="" dxfId="0">
      <formula>C12="Dead"</formula>
    </cfRule>
  </conditionalFormatting>
  <conditionalFormatting sqref="F12:F61">
    <cfRule type="expression" priority="7" aboveAverage="0" equalAverage="0" bottom="0" percent="0" rank="0" text="" dxfId="0">
      <formula>C12="Dead"</formula>
    </cfRule>
  </conditionalFormatting>
  <conditionalFormatting sqref="G12:G61">
    <cfRule type="expression" priority="8" aboveAverage="0" equalAverage="0" bottom="0" percent="0" rank="0" text="" dxfId="0">
      <formula>C12="Dead"</formula>
    </cfRule>
  </conditionalFormatting>
  <conditionalFormatting sqref="H12:H61">
    <cfRule type="expression" priority="9" aboveAverage="0" equalAverage="0" bottom="0" percent="0" rank="0" text="" dxfId="0">
      <formula>C12="Dead"</formula>
    </cfRule>
  </conditionalFormatting>
  <conditionalFormatting sqref="I12:I61">
    <cfRule type="expression" priority="10" aboveAverage="0" equalAverage="0" bottom="0" percent="0" rank="0" text="" dxfId="0">
      <formula>C12="Dead"</formula>
    </cfRule>
  </conditionalFormatting>
  <conditionalFormatting sqref="J12:J61">
    <cfRule type="expression" priority="11" aboveAverage="0" equalAverage="0" bottom="0" percent="0" rank="0" text="" dxfId="0">
      <formula>C12="Dead"</formula>
    </cfRule>
  </conditionalFormatting>
  <conditionalFormatting sqref="K12:K61">
    <cfRule type="expression" priority="12" aboveAverage="0" equalAverage="0" bottom="0" percent="0" rank="0" text="" dxfId="0">
      <formula>C12="Dead"</formula>
    </cfRule>
  </conditionalFormatting>
  <conditionalFormatting sqref="L12:L61">
    <cfRule type="expression" priority="13" aboveAverage="0" equalAverage="0" bottom="0" percent="0" rank="0" text="" dxfId="0">
      <formula>C12="Dead"</formula>
    </cfRule>
  </conditionalFormatting>
  <conditionalFormatting sqref="M12:M61">
    <cfRule type="expression" priority="14" aboveAverage="0" equalAverage="0" bottom="0" percent="0" rank="0" text="" dxfId="0">
      <formula>C12="Dead"</formula>
    </cfRule>
  </conditionalFormatting>
  <conditionalFormatting sqref="N12:N61">
    <cfRule type="expression" priority="15" aboveAverage="0" equalAverage="0" bottom="0" percent="0" rank="0" text="" dxfId="0">
      <formula>C12="Dead"</formula>
    </cfRule>
  </conditionalFormatting>
  <conditionalFormatting sqref="O12:O61">
    <cfRule type="expression" priority="16" aboveAverage="0" equalAverage="0" bottom="0" percent="0" rank="0" text="" dxfId="0">
      <formula>C12="Dead"</formula>
    </cfRule>
  </conditionalFormatting>
  <conditionalFormatting sqref="P12:P61">
    <cfRule type="expression" priority="17" aboveAverage="0" equalAverage="0" bottom="0" percent="0" rank="0" text="" dxfId="0">
      <formula>C12="Dead"</formula>
    </cfRule>
  </conditionalFormatting>
  <conditionalFormatting sqref="Q12:Q61">
    <cfRule type="expression" priority="18" aboveAverage="0" equalAverage="0" bottom="0" percent="0" rank="0" text="" dxfId="0">
      <formula>C12="Dead"</formula>
    </cfRule>
  </conditionalFormatting>
  <conditionalFormatting sqref="R12:R61">
    <cfRule type="expression" priority="19" aboveAverage="0" equalAverage="0" bottom="0" percent="0" rank="0" text="" dxfId="0">
      <formula>C12="Dead"</formula>
    </cfRule>
  </conditionalFormatting>
  <conditionalFormatting sqref="S12:S61">
    <cfRule type="expression" priority="20" aboveAverage="0" equalAverage="0" bottom="0" percent="0" rank="0" text="" dxfId="0">
      <formula>C12="Dead"</formula>
    </cfRule>
  </conditionalFormatting>
  <conditionalFormatting sqref="T12:T61">
    <cfRule type="expression" priority="21" aboveAverage="0" equalAverage="0" bottom="0" percent="0" rank="0" text="" dxfId="0">
      <formula>C12="Dead"</formula>
    </cfRule>
  </conditionalFormatting>
  <conditionalFormatting sqref="U12:U61">
    <cfRule type="expression" priority="22" aboveAverage="0" equalAverage="0" bottom="0" percent="0" rank="0" text="" dxfId="0">
      <formula>C12="Dead"</formula>
    </cfRule>
  </conditionalFormatting>
  <conditionalFormatting sqref="V12:V61">
    <cfRule type="expression" priority="23" aboveAverage="0" equalAverage="0" bottom="0" percent="0" rank="0" text="" dxfId="0">
      <formula>C12="Dead"</formula>
    </cfRule>
  </conditionalFormatting>
  <conditionalFormatting sqref="W12:W61">
    <cfRule type="expression" priority="24" aboveAverage="0" equalAverage="0" bottom="0" percent="0" rank="0" text="" dxfId="0">
      <formula>C12="Dead"</formula>
    </cfRule>
  </conditionalFormatting>
  <conditionalFormatting sqref="X12:X61">
    <cfRule type="expression" priority="25" aboveAverage="0" equalAverage="0" bottom="0" percent="0" rank="0" text="" dxfId="0">
      <formula>C12="Dead"</formula>
    </cfRule>
  </conditionalFormatting>
  <conditionalFormatting sqref="Y12:Y61">
    <cfRule type="expression" priority="26" aboveAverage="0" equalAverage="0" bottom="0" percent="0" rank="0" text="" dxfId="0">
      <formula>C12="Dead"</formula>
    </cfRule>
  </conditionalFormatting>
  <dataValidations count="3">
    <dataValidation allowBlank="true" errorStyle="stop" operator="between" showDropDown="false" showErrorMessage="false" showInputMessage="false" sqref="C12:C61" type="list">
      <formula1>"Pipeline,Closed,Dead"</formula1>
      <formula2>0</formula2>
    </dataValidation>
    <dataValidation allowBlank="true" errorStyle="stop" operator="between" showDropDown="false" showErrorMessage="false" showInputMessage="false" sqref="I12:I61" type="list">
      <formula1>"36,48,60"</formula1>
      <formula2>0</formula2>
    </dataValidation>
    <dataValidation allowBlank="true" error="Enter a percent between 0% and 100%." errorStyle="stop" errorTitle="Percent" operator="between" showDropDown="false" showErrorMessage="false" showInputMessage="false" sqref="G12:H61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7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true" outlineLevel="0" collapsed="false">
      <c r="A3" s="19" t="s">
        <v>13</v>
      </c>
      <c r="B3" s="14" t="n">
        <v>1</v>
      </c>
      <c r="D3" s="19" t="s">
        <v>18</v>
      </c>
      <c r="E3" s="15" t="n">
        <f aca="false">IF(B8="","",INDEX(Loans!F12:F61,B8))</f>
        <v>38127.43</v>
      </c>
      <c r="F3" s="4" t="s">
        <v>47</v>
      </c>
      <c r="G3" s="4"/>
      <c r="H3" s="4"/>
    </row>
    <row r="4" customFormat="false" ht="15" hidden="false" customHeight="false" outlineLevel="0" collapsed="false">
      <c r="A4" s="19" t="s">
        <v>14</v>
      </c>
      <c r="B4" s="22" t="str">
        <f aca="false">IF(B8="","",INDEX(Loans!B12:B61,B8))</f>
        <v>SAMPLE Client A (replace)</v>
      </c>
      <c r="D4" s="19" t="s">
        <v>19</v>
      </c>
      <c r="E4" s="23" t="n">
        <f aca="false">IF(B8="","",INDEX(Loans!G12:G61,B8))</f>
        <v>0</v>
      </c>
      <c r="F4" s="5" t="s">
        <v>25</v>
      </c>
      <c r="G4" s="5"/>
      <c r="H4" s="24" t="n">
        <f aca="false">IF(B8="","",INDEX(Loans!M12:M61,B8))</f>
        <v>381.2743</v>
      </c>
    </row>
    <row r="5" customFormat="false" ht="15" hidden="false" customHeight="false" outlineLevel="0" collapsed="false">
      <c r="A5" s="19" t="s">
        <v>15</v>
      </c>
      <c r="B5" s="22" t="str">
        <f aca="false">IF(B8="","",INDEX(Loans!C12:C61,B8))</f>
        <v>Closed</v>
      </c>
      <c r="D5" s="19" t="s">
        <v>22</v>
      </c>
      <c r="E5" s="15" t="n">
        <f aca="false">IF(B8="","",INDEX(Loans!J12:J61,B8))</f>
        <v>0</v>
      </c>
      <c r="F5" s="5" t="s">
        <v>26</v>
      </c>
      <c r="G5" s="5"/>
      <c r="H5" s="24" t="n">
        <f aca="false">IF(B8="","",INDEX(Loans!N12:N61,B8))</f>
        <v>381.2743</v>
      </c>
    </row>
    <row r="6" customFormat="false" ht="15" hidden="false" customHeight="false" outlineLevel="0" collapsed="false">
      <c r="A6" s="19" t="s">
        <v>48</v>
      </c>
      <c r="B6" s="25" t="n">
        <f aca="false">IF(B8="","",INDEX(Loans!D12:D61,B8))</f>
        <v>46218</v>
      </c>
      <c r="D6" s="19" t="s">
        <v>23</v>
      </c>
      <c r="E6" s="15" t="n">
        <f aca="false">IF(B8="","",INDEX(Loans!K12:K61,B8))</f>
        <v>38127.43</v>
      </c>
      <c r="F6" s="5" t="s">
        <v>49</v>
      </c>
      <c r="G6" s="5"/>
      <c r="H6" s="24" t="n">
        <f aca="false">SUM(G13:G72)</f>
        <v>486.520907465497</v>
      </c>
    </row>
    <row r="7" customFormat="false" ht="15" hidden="false" customHeight="false" outlineLevel="0" collapsed="false">
      <c r="A7" s="19" t="s">
        <v>50</v>
      </c>
      <c r="B7" s="25" t="n">
        <f aca="false">IF(B8="","",INDEX(Loans!E12:E61,B8))</f>
        <v>46249</v>
      </c>
      <c r="D7" s="19" t="s">
        <v>20</v>
      </c>
      <c r="E7" s="23" t="n">
        <f aca="false">IF(B8="","",INDEX(Loans!H12:H61,B8))</f>
        <v>0.0899</v>
      </c>
      <c r="F7" s="5" t="s">
        <v>51</v>
      </c>
      <c r="G7" s="5"/>
      <c r="H7" s="24" t="n">
        <f aca="false">SUM(G13:G24)</f>
        <v>173.351969612295</v>
      </c>
    </row>
    <row r="8" customFormat="false" ht="15" hidden="false" customHeight="false" outlineLevel="0" collapsed="false">
      <c r="A8" s="19" t="s">
        <v>52</v>
      </c>
      <c r="B8" s="26" t="n">
        <f aca="false">IF(COUNTIF(Loans!A12:A61,B3)=0,"",MATCH(B3,Loans!A12:A61,0))</f>
        <v>1</v>
      </c>
      <c r="D8" s="19" t="s">
        <v>21</v>
      </c>
      <c r="E8" s="16" t="n">
        <f aca="false">IF(B8="","",INDEX(Loans!I12:I61,B8))</f>
        <v>60</v>
      </c>
      <c r="F8" s="19" t="s">
        <v>53</v>
      </c>
      <c r="G8" s="19"/>
      <c r="H8" s="27" t="n">
        <f aca="false">SUM(H4:H6)</f>
        <v>1249.0695074655</v>
      </c>
    </row>
    <row r="9" customFormat="false" ht="15" hidden="false" customHeight="false" outlineLevel="0" collapsed="false">
      <c r="D9" s="19" t="s">
        <v>24</v>
      </c>
      <c r="E9" s="15" t="n">
        <f aca="false">IF(B8="","",INDEX(Loans!L12:L61,B8))</f>
        <v>791.277704179932</v>
      </c>
      <c r="F9" s="5" t="s">
        <v>54</v>
      </c>
      <c r="G9" s="5"/>
      <c r="H9" s="24" t="n">
        <f aca="false">IF(B8="","",PMT(Loans!C7/12,E8,-E3))</f>
        <v>643.565848457758</v>
      </c>
    </row>
    <row r="10" customFormat="false" ht="15" hidden="false" customHeight="false" outlineLevel="0" collapsed="false">
      <c r="A10" s="2" t="s">
        <v>55</v>
      </c>
      <c r="F10" s="5" t="s">
        <v>56</v>
      </c>
      <c r="G10" s="5"/>
      <c r="H10" s="24" t="str">
        <f aca="false">IF(B8="","",IF(B5="Dead","n/a (Dead)",IF(ABS(H6-INDEX(Loans!O12:O61,B8))&lt;0.005,"OK","CHECK")))</f>
        <v>OK</v>
      </c>
    </row>
    <row r="12" customFormat="false" ht="42" hidden="false" customHeight="true" outlineLevel="0" collapsed="false">
      <c r="A12" s="10" t="s">
        <v>57</v>
      </c>
      <c r="B12" s="10" t="s">
        <v>58</v>
      </c>
      <c r="C12" s="10" t="s">
        <v>59</v>
      </c>
      <c r="D12" s="10" t="s">
        <v>60</v>
      </c>
      <c r="E12" s="10" t="s">
        <v>61</v>
      </c>
      <c r="F12" s="10" t="s">
        <v>62</v>
      </c>
      <c r="G12" s="10" t="s">
        <v>63</v>
      </c>
      <c r="H12" s="10" t="s">
        <v>64</v>
      </c>
      <c r="I12" s="10" t="s">
        <v>65</v>
      </c>
    </row>
    <row r="13" customFormat="false" ht="15" hidden="false" customHeight="false" outlineLevel="0" collapsed="false">
      <c r="A13" s="16" t="n">
        <f aca="false">IF(B8="","",IF(E6="","",IF(E8&lt;1,"",1)))</f>
        <v>1</v>
      </c>
      <c r="B13" s="17" t="n">
        <f aca="false">IF(OR(A13="",B7=""),"",EDATE(B7,A13-1))</f>
        <v>46249</v>
      </c>
      <c r="C13" s="15" t="n">
        <f aca="false">IF(A13="","",E13-D13)</f>
        <v>505.639707763265</v>
      </c>
      <c r="D13" s="15" t="n">
        <f aca="false">IF(A13="","",E6*E7/12)</f>
        <v>285.637996416667</v>
      </c>
      <c r="E13" s="15" t="n">
        <f aca="false">IF(A13="","",E9)</f>
        <v>791.277704179932</v>
      </c>
      <c r="F13" s="15" t="n">
        <f aca="false">IF(A13="","",IF(A13=E8,0,E6-C13))</f>
        <v>37621.7902922367</v>
      </c>
      <c r="G13" s="15" t="n">
        <f aca="false">IF(A13="","",E3*Loans!C7/12)</f>
        <v>15.8864291666667</v>
      </c>
      <c r="H13" s="15" t="n">
        <f aca="false">IF(A13="","",H9-G13)</f>
        <v>627.679419291092</v>
      </c>
      <c r="I13" s="15" t="n">
        <f aca="false">IF(A13="","",IF(A13=E8,0,E3-H13))</f>
        <v>37499.7505807089</v>
      </c>
    </row>
    <row r="14" customFormat="false" ht="15" hidden="false" customHeight="false" outlineLevel="0" collapsed="false">
      <c r="A14" s="16" t="n">
        <f aca="false">IF(A13="","",IF(A13&lt;E8,A13+1,""))</f>
        <v>2</v>
      </c>
      <c r="B14" s="17" t="n">
        <f aca="false">IF(OR(A14="",B7=""),"",EDATE(B7,A14-1))</f>
        <v>46280</v>
      </c>
      <c r="C14" s="15" t="n">
        <f aca="false">IF(A14="","",E14-D14)</f>
        <v>509.427791907258</v>
      </c>
      <c r="D14" s="15" t="n">
        <f aca="false">IF(A14="","",F13*E7/12)</f>
        <v>281.849912272674</v>
      </c>
      <c r="E14" s="15" t="n">
        <f aca="false">IF(A14="","",E9)</f>
        <v>791.277704179932</v>
      </c>
      <c r="F14" s="15" t="n">
        <f aca="false">IF(A14="","",IF(A14=E8,0,F13-C14))</f>
        <v>37112.3625003295</v>
      </c>
      <c r="G14" s="15" t="n">
        <f aca="false">IF(A14="","",I13*Loans!C7/12)</f>
        <v>15.6248960752954</v>
      </c>
      <c r="H14" s="15" t="n">
        <f aca="false">IF(A14="","",H9-G14)</f>
        <v>627.940952382463</v>
      </c>
      <c r="I14" s="15" t="n">
        <f aca="false">IF(A14="","",IF(A14=E8,0,I13-H14))</f>
        <v>36871.8096283264</v>
      </c>
    </row>
    <row r="15" customFormat="false" ht="15" hidden="false" customHeight="false" outlineLevel="0" collapsed="false">
      <c r="A15" s="16" t="n">
        <f aca="false">IF(A14="","",IF(A14&lt;E8,A14+1,""))</f>
        <v>3</v>
      </c>
      <c r="B15" s="17" t="n">
        <f aca="false">IF(OR(A15="",B7=""),"",EDATE(B7,A15-1))</f>
        <v>46310</v>
      </c>
      <c r="C15" s="15" t="n">
        <f aca="false">IF(A15="","",E15-D15)</f>
        <v>513.244255114964</v>
      </c>
      <c r="D15" s="15" t="n">
        <f aca="false">IF(A15="","",F14*E7/12)</f>
        <v>278.033449064968</v>
      </c>
      <c r="E15" s="15" t="n">
        <f aca="false">IF(A15="","",E9)</f>
        <v>791.277704179932</v>
      </c>
      <c r="F15" s="15" t="n">
        <f aca="false">IF(A15="","",IF(A15=E8,0,F14-C15))</f>
        <v>36599.1182452145</v>
      </c>
      <c r="G15" s="15" t="n">
        <f aca="false">IF(A15="","",I14*Loans!C7/12)</f>
        <v>15.3632540118027</v>
      </c>
      <c r="H15" s="15" t="n">
        <f aca="false">IF(A15="","",H9-G15)</f>
        <v>628.202594445956</v>
      </c>
      <c r="I15" s="15" t="n">
        <f aca="false">IF(A15="","",IF(A15=E8,0,I14-H15))</f>
        <v>36243.6070338805</v>
      </c>
    </row>
    <row r="16" customFormat="false" ht="15" hidden="false" customHeight="false" outlineLevel="0" collapsed="false">
      <c r="A16" s="16" t="n">
        <f aca="false">IF(A15="","",IF(A15&lt;E8,A15+1,""))</f>
        <v>4</v>
      </c>
      <c r="B16" s="17" t="n">
        <f aca="false">IF(OR(A16="",B7=""),"",EDATE(B7,A16-1))</f>
        <v>46341</v>
      </c>
      <c r="C16" s="15" t="n">
        <f aca="false">IF(A16="","",E16-D16)</f>
        <v>517.089309992866</v>
      </c>
      <c r="D16" s="15" t="n">
        <f aca="false">IF(A16="","",F15*E7/12)</f>
        <v>274.188394187065</v>
      </c>
      <c r="E16" s="15" t="n">
        <f aca="false">IF(A16="","",E9)</f>
        <v>791.277704179932</v>
      </c>
      <c r="F16" s="15" t="n">
        <f aca="false">IF(A16="","",IF(A16=E8,0,F15-C16))</f>
        <v>36082.0289352217</v>
      </c>
      <c r="G16" s="15" t="n">
        <f aca="false">IF(A16="","",I15*Loans!C7/12)</f>
        <v>15.1015029307835</v>
      </c>
      <c r="H16" s="15" t="n">
        <f aca="false">IF(A16="","",H9-G16)</f>
        <v>628.464345526975</v>
      </c>
      <c r="I16" s="15" t="n">
        <f aca="false">IF(A16="","",IF(A16=E8,0,I15-H16))</f>
        <v>35615.1426883535</v>
      </c>
    </row>
    <row r="17" customFormat="false" ht="15" hidden="false" customHeight="false" outlineLevel="0" collapsed="false">
      <c r="A17" s="16" t="n">
        <f aca="false">IF(A16="","",IF(A16&lt;E8,A16+1,""))</f>
        <v>5</v>
      </c>
      <c r="B17" s="17" t="n">
        <f aca="false">IF(OR(A17="",B7=""),"",EDATE(B7,A17-1))</f>
        <v>46371</v>
      </c>
      <c r="C17" s="15" t="n">
        <f aca="false">IF(A17="","",E17-D17)</f>
        <v>520.96317074023</v>
      </c>
      <c r="D17" s="15" t="n">
        <f aca="false">IF(A17="","",F16*E7/12)</f>
        <v>270.314533439702</v>
      </c>
      <c r="E17" s="15" t="n">
        <f aca="false">IF(A17="","",E9)</f>
        <v>791.277704179932</v>
      </c>
      <c r="F17" s="15" t="n">
        <f aca="false">IF(A17="","",IF(A17=E8,0,F16-C17))</f>
        <v>35561.0657644814</v>
      </c>
      <c r="G17" s="15" t="n">
        <f aca="false">IF(A17="","",I16*Loans!C7/12)</f>
        <v>14.839642786814</v>
      </c>
      <c r="H17" s="15" t="n">
        <f aca="false">IF(A17="","",H9-G17)</f>
        <v>628.726205670944</v>
      </c>
      <c r="I17" s="15" t="n">
        <f aca="false">IF(A17="","",IF(A17=E8,0,I16-H17))</f>
        <v>34986.4164826826</v>
      </c>
    </row>
    <row r="18" customFormat="false" ht="15" hidden="false" customHeight="false" outlineLevel="0" collapsed="false">
      <c r="A18" s="16" t="n">
        <f aca="false">IF(A17="","",IF(A17&lt;E8,A17+1,""))</f>
        <v>6</v>
      </c>
      <c r="B18" s="17" t="n">
        <f aca="false">IF(OR(A18="",B7=""),"",EDATE(B7,A18-1))</f>
        <v>46402</v>
      </c>
      <c r="C18" s="15" t="n">
        <f aca="false">IF(A18="","",E18-D18)</f>
        <v>524.866053161025</v>
      </c>
      <c r="D18" s="15" t="n">
        <f aca="false">IF(A18="","",F17*E7/12)</f>
        <v>266.411651018907</v>
      </c>
      <c r="E18" s="15" t="n">
        <f aca="false">IF(A18="","",E9)</f>
        <v>791.277704179932</v>
      </c>
      <c r="F18" s="15" t="n">
        <f aca="false">IF(A18="","",IF(A18=E8,0,F17-C18))</f>
        <v>35036.1997113204</v>
      </c>
      <c r="G18" s="15" t="n">
        <f aca="false">IF(A18="","",I17*Loans!C7/12)</f>
        <v>14.5776735344511</v>
      </c>
      <c r="H18" s="15" t="n">
        <f aca="false">IF(A18="","",H9-G18)</f>
        <v>628.988174923307</v>
      </c>
      <c r="I18" s="15" t="n">
        <f aca="false">IF(A18="","",IF(A18=E8,0,I17-H18))</f>
        <v>34357.4283077593</v>
      </c>
    </row>
    <row r="19" customFormat="false" ht="15" hidden="false" customHeight="false" outlineLevel="0" collapsed="false">
      <c r="A19" s="16" t="n">
        <f aca="false">IF(A18="","",IF(A18&lt;E8,A18+1,""))</f>
        <v>7</v>
      </c>
      <c r="B19" s="17" t="n">
        <f aca="false">IF(OR(A19="",B7=""),"",EDATE(B7,A19-1))</f>
        <v>46433</v>
      </c>
      <c r="C19" s="15" t="n">
        <f aca="false">IF(A19="","",E19-D19)</f>
        <v>528.798174675957</v>
      </c>
      <c r="D19" s="15" t="n">
        <f aca="false">IF(A19="","",F18*E7/12)</f>
        <v>262.479529503975</v>
      </c>
      <c r="E19" s="15" t="n">
        <f aca="false">IF(A19="","",E9)</f>
        <v>791.277704179932</v>
      </c>
      <c r="F19" s="15" t="n">
        <f aca="false">IF(A19="","",IF(A19=E8,0,F18-C19))</f>
        <v>34507.4015366444</v>
      </c>
      <c r="G19" s="15" t="n">
        <f aca="false">IF(A19="","",I18*Loans!C7/12)</f>
        <v>14.315595128233</v>
      </c>
      <c r="H19" s="15" t="n">
        <f aca="false">IF(A19="","",H9-G19)</f>
        <v>629.250253329525</v>
      </c>
      <c r="I19" s="15" t="n">
        <f aca="false">IF(A19="","",IF(A19=E8,0,I18-H19))</f>
        <v>33728.1780544297</v>
      </c>
    </row>
    <row r="20" customFormat="false" ht="15" hidden="false" customHeight="false" outlineLevel="0" collapsed="false">
      <c r="A20" s="16" t="n">
        <f aca="false">IF(A19="","",IF(A19&lt;E8,A19+1,""))</f>
        <v>8</v>
      </c>
      <c r="B20" s="17" t="n">
        <f aca="false">IF(OR(A20="",B7=""),"",EDATE(B7,A20-1))</f>
        <v>46461</v>
      </c>
      <c r="C20" s="15" t="n">
        <f aca="false">IF(A20="","",E20-D20)</f>
        <v>532.759754334571</v>
      </c>
      <c r="D20" s="15" t="n">
        <f aca="false">IF(A20="","",F19*E7/12)</f>
        <v>258.517949845361</v>
      </c>
      <c r="E20" s="15" t="n">
        <f aca="false">IF(A20="","",E9)</f>
        <v>791.277704179932</v>
      </c>
      <c r="F20" s="15" t="n">
        <f aca="false">IF(A20="","",IF(A20=E8,0,F19-C20))</f>
        <v>33974.6417823099</v>
      </c>
      <c r="G20" s="15" t="n">
        <f aca="false">IF(A20="","",I19*Loans!C7/12)</f>
        <v>14.0534075226791</v>
      </c>
      <c r="H20" s="15" t="n">
        <f aca="false">IF(A20="","",H9-G20)</f>
        <v>629.512440935079</v>
      </c>
      <c r="I20" s="15" t="n">
        <f aca="false">IF(A20="","",IF(A20=E8,0,I19-H20))</f>
        <v>33098.6656134947</v>
      </c>
    </row>
    <row r="21" customFormat="false" ht="15" hidden="false" customHeight="false" outlineLevel="0" collapsed="false">
      <c r="A21" s="16" t="n">
        <f aca="false">IF(A20="","",IF(A20&lt;E8,A20+1,""))</f>
        <v>9</v>
      </c>
      <c r="B21" s="17" t="n">
        <f aca="false">IF(OR(A21="",B7=""),"",EDATE(B7,A21-1))</f>
        <v>46492</v>
      </c>
      <c r="C21" s="15" t="n">
        <f aca="false">IF(A21="","",E21-D21)</f>
        <v>536.751012827461</v>
      </c>
      <c r="D21" s="15" t="n">
        <f aca="false">IF(A21="","",F20*E7/12)</f>
        <v>254.526691352471</v>
      </c>
      <c r="E21" s="15" t="n">
        <f aca="false">IF(A21="","",E9)</f>
        <v>791.277704179932</v>
      </c>
      <c r="F21" s="15" t="n">
        <f aca="false">IF(A21="","",IF(A21=E8,0,F20-C21))</f>
        <v>33437.8907694824</v>
      </c>
      <c r="G21" s="15" t="n">
        <f aca="false">IF(A21="","",I20*Loans!C7/12)</f>
        <v>13.7911106722894</v>
      </c>
      <c r="H21" s="15" t="n">
        <f aca="false">IF(A21="","",H9-G21)</f>
        <v>629.774737785469</v>
      </c>
      <c r="I21" s="15" t="n">
        <f aca="false">IF(A21="","",IF(A21=E8,0,I20-H21))</f>
        <v>32468.8908757092</v>
      </c>
    </row>
    <row r="22" customFormat="false" ht="15" hidden="false" customHeight="false" outlineLevel="0" collapsed="false">
      <c r="A22" s="16" t="n">
        <f aca="false">IF(A21="","",IF(A21&lt;E8,A21+1,""))</f>
        <v>10</v>
      </c>
      <c r="B22" s="17" t="n">
        <f aca="false">IF(OR(A22="",B7=""),"",EDATE(B7,A22-1))</f>
        <v>46522</v>
      </c>
      <c r="C22" s="15" t="n">
        <f aca="false">IF(A22="","",E22-D22)</f>
        <v>540.77217249856</v>
      </c>
      <c r="D22" s="15" t="n">
        <f aca="false">IF(A22="","",F21*E7/12)</f>
        <v>250.505531681372</v>
      </c>
      <c r="E22" s="15" t="n">
        <f aca="false">IF(A22="","",E9)</f>
        <v>791.277704179932</v>
      </c>
      <c r="F22" s="15" t="n">
        <f aca="false">IF(A22="","",IF(A22=E8,0,F21-C22))</f>
        <v>32897.1185969839</v>
      </c>
      <c r="G22" s="15" t="n">
        <f aca="false">IF(A22="","",I21*Loans!C7/12)</f>
        <v>13.5287045315455</v>
      </c>
      <c r="H22" s="15" t="n">
        <f aca="false">IF(A22="","",H9-G22)</f>
        <v>630.037143926213</v>
      </c>
      <c r="I22" s="15" t="n">
        <f aca="false">IF(A22="","",IF(A22=E8,0,I21-H22))</f>
        <v>31838.853731783</v>
      </c>
    </row>
    <row r="23" customFormat="false" ht="15" hidden="false" customHeight="false" outlineLevel="0" collapsed="false">
      <c r="A23" s="16" t="n">
        <f aca="false">IF(A22="","",IF(A22&lt;E8,A22+1,""))</f>
        <v>11</v>
      </c>
      <c r="B23" s="17" t="n">
        <f aca="false">IF(OR(A23="",B7=""),"",EDATE(B7,A23-1))</f>
        <v>46553</v>
      </c>
      <c r="C23" s="15" t="n">
        <f aca="false">IF(A23="","",E23-D23)</f>
        <v>544.823457357528</v>
      </c>
      <c r="D23" s="15" t="n">
        <f aca="false">IF(A23="","",F22*E7/12)</f>
        <v>246.454246822404</v>
      </c>
      <c r="E23" s="15" t="n">
        <f aca="false">IF(A23="","",E9)</f>
        <v>791.277704179932</v>
      </c>
      <c r="F23" s="15" t="n">
        <f aca="false">IF(A23="","",IF(A23=E8,0,F22-C23))</f>
        <v>32352.2951396263</v>
      </c>
      <c r="G23" s="15" t="n">
        <f aca="false">IF(A23="","",I22*Loans!C7/12)</f>
        <v>13.2661890549096</v>
      </c>
      <c r="H23" s="15" t="n">
        <f aca="false">IF(A23="","",H9-G23)</f>
        <v>630.299659402849</v>
      </c>
      <c r="I23" s="15" t="n">
        <f aca="false">IF(A23="","",IF(A23=E8,0,I22-H23))</f>
        <v>31208.5540723801</v>
      </c>
    </row>
    <row r="24" customFormat="false" ht="15" hidden="false" customHeight="false" outlineLevel="0" collapsed="false">
      <c r="A24" s="16" t="n">
        <f aca="false">IF(A23="","",IF(A23&lt;E8,A23+1,""))</f>
        <v>12</v>
      </c>
      <c r="B24" s="17" t="n">
        <f aca="false">IF(OR(A24="",B7=""),"",EDATE(B7,A24-1))</f>
        <v>46583</v>
      </c>
      <c r="C24" s="15" t="n">
        <f aca="false">IF(A24="","",E24-D24)</f>
        <v>548.905093092231</v>
      </c>
      <c r="D24" s="15" t="n">
        <f aca="false">IF(A24="","",F23*E7/12)</f>
        <v>242.372611087701</v>
      </c>
      <c r="E24" s="15" t="n">
        <f aca="false">IF(A24="","",E9)</f>
        <v>791.277704179932</v>
      </c>
      <c r="F24" s="15" t="n">
        <f aca="false">IF(A24="","",IF(A24=E8,0,F23-C24))</f>
        <v>31803.3900465341</v>
      </c>
      <c r="G24" s="15" t="n">
        <f aca="false">IF(A24="","",I23*Loans!C7/12)</f>
        <v>13.0035641968251</v>
      </c>
      <c r="H24" s="15" t="n">
        <f aca="false">IF(A24="","",H9-G24)</f>
        <v>630.562284260933</v>
      </c>
      <c r="I24" s="15" t="n">
        <f aca="false">IF(A24="","",IF(A24=E8,0,I23-H24))</f>
        <v>30577.9917881192</v>
      </c>
    </row>
    <row r="25" customFormat="false" ht="15" hidden="false" customHeight="false" outlineLevel="0" collapsed="false">
      <c r="A25" s="16" t="n">
        <f aca="false">IF(A24="","",IF(A24&lt;E8,A24+1,""))</f>
        <v>13</v>
      </c>
      <c r="B25" s="17" t="n">
        <f aca="false">IF(OR(A25="",B7=""),"",EDATE(B7,A25-1))</f>
        <v>46614</v>
      </c>
      <c r="C25" s="15" t="n">
        <f aca="false">IF(A25="","",E25-D25)</f>
        <v>553.017307081314</v>
      </c>
      <c r="D25" s="15" t="n">
        <f aca="false">IF(A25="","",F24*E7/12)</f>
        <v>238.260397098618</v>
      </c>
      <c r="E25" s="15" t="n">
        <f aca="false">IF(A25="","",E9)</f>
        <v>791.277704179932</v>
      </c>
      <c r="F25" s="15" t="n">
        <f aca="false">IF(A25="","",IF(A25=E8,0,F24-C25))</f>
        <v>31250.3727394528</v>
      </c>
      <c r="G25" s="15" t="n">
        <f aca="false">IF(A25="","",I24*Loans!C7/12)</f>
        <v>12.7408299117163</v>
      </c>
      <c r="H25" s="15" t="n">
        <f aca="false">IF(A25="","",H9-G25)</f>
        <v>630.825018546042</v>
      </c>
      <c r="I25" s="15" t="n">
        <f aca="false">IF(A25="","",IF(A25=E8,0,I24-H25))</f>
        <v>29947.1667695732</v>
      </c>
    </row>
    <row r="26" customFormat="false" ht="15" hidden="false" customHeight="false" outlineLevel="0" collapsed="false">
      <c r="A26" s="16" t="n">
        <f aca="false">IF(A25="","",IF(A25&lt;E8,A25+1,""))</f>
        <v>14</v>
      </c>
      <c r="B26" s="17" t="n">
        <f aca="false">IF(OR(A26="",B7=""),"",EDATE(B7,A26-1))</f>
        <v>46645</v>
      </c>
      <c r="C26" s="15" t="n">
        <f aca="false">IF(A26="","",E26-D26)</f>
        <v>557.160328406865</v>
      </c>
      <c r="D26" s="15" t="n">
        <f aca="false">IF(A26="","",F25*E7/12)</f>
        <v>234.117375773067</v>
      </c>
      <c r="E26" s="15" t="n">
        <f aca="false">IF(A26="","",E9)</f>
        <v>791.277704179932</v>
      </c>
      <c r="F26" s="15" t="n">
        <f aca="false">IF(A26="","",IF(A26=E8,0,F25-C26))</f>
        <v>30693.2124110459</v>
      </c>
      <c r="G26" s="15" t="n">
        <f aca="false">IF(A26="","",I25*Loans!C7/12)</f>
        <v>12.4779861539888</v>
      </c>
      <c r="H26" s="15" t="n">
        <f aca="false">IF(A26="","",H9-G26)</f>
        <v>631.08786230377</v>
      </c>
      <c r="I26" s="15" t="n">
        <f aca="false">IF(A26="","",IF(A26=E8,0,I25-H26))</f>
        <v>29316.0789072694</v>
      </c>
    </row>
    <row r="27" customFormat="false" ht="15" hidden="false" customHeight="false" outlineLevel="0" collapsed="false">
      <c r="A27" s="16" t="n">
        <f aca="false">IF(A26="","",IF(A26&lt;E8,A26+1,""))</f>
        <v>15</v>
      </c>
      <c r="B27" s="17" t="n">
        <f aca="false">IF(OR(A27="",B7=""),"",EDATE(B7,A27-1))</f>
        <v>46675</v>
      </c>
      <c r="C27" s="15" t="n">
        <f aca="false">IF(A27="","",E27-D27)</f>
        <v>561.33438786718</v>
      </c>
      <c r="D27" s="15" t="n">
        <f aca="false">IF(A27="","",F26*E7/12)</f>
        <v>229.943316312752</v>
      </c>
      <c r="E27" s="15" t="n">
        <f aca="false">IF(A27="","",E9)</f>
        <v>791.277704179932</v>
      </c>
      <c r="F27" s="15" t="n">
        <f aca="false">IF(A27="","",IF(A27=E8,0,F26-C27))</f>
        <v>30131.8780231787</v>
      </c>
      <c r="G27" s="15" t="n">
        <f aca="false">IF(A27="","",I26*Loans!C7/12)</f>
        <v>12.2150328780289</v>
      </c>
      <c r="H27" s="15" t="n">
        <f aca="false">IF(A27="","",H9-G27)</f>
        <v>631.35081557973</v>
      </c>
      <c r="I27" s="15" t="n">
        <f aca="false">IF(A27="","",IF(A27=E8,0,I26-H27))</f>
        <v>28684.7280916897</v>
      </c>
    </row>
    <row r="28" customFormat="false" ht="15" hidden="false" customHeight="false" outlineLevel="0" collapsed="false">
      <c r="A28" s="16" t="n">
        <f aca="false">IF(A27="","",IF(A27&lt;E8,A27+1,""))</f>
        <v>16</v>
      </c>
      <c r="B28" s="17" t="n">
        <f aca="false">IF(OR(A28="",B7=""),"",EDATE(B7,A28-1))</f>
        <v>46706</v>
      </c>
      <c r="C28" s="15" t="n">
        <f aca="false">IF(A28="","",E28-D28)</f>
        <v>565.539717989618</v>
      </c>
      <c r="D28" s="15" t="n">
        <f aca="false">IF(A28="","",F27*E7/12)</f>
        <v>225.737986190314</v>
      </c>
      <c r="E28" s="15" t="n">
        <f aca="false">IF(A28="","",E9)</f>
        <v>791.277704179932</v>
      </c>
      <c r="F28" s="15" t="n">
        <f aca="false">IF(A28="","",IF(A28=E8,0,F27-C28))</f>
        <v>29566.3383051891</v>
      </c>
      <c r="G28" s="15" t="n">
        <f aca="false">IF(A28="","",I27*Loans!C7/12)</f>
        <v>11.951970038204</v>
      </c>
      <c r="H28" s="15" t="n">
        <f aca="false">IF(A28="","",H9-G28)</f>
        <v>631.613878419555</v>
      </c>
      <c r="I28" s="15" t="n">
        <f aca="false">IF(A28="","",IF(A28=E8,0,I27-H28))</f>
        <v>28053.1142132701</v>
      </c>
    </row>
    <row r="29" customFormat="false" ht="15" hidden="false" customHeight="false" outlineLevel="0" collapsed="false">
      <c r="A29" s="16" t="n">
        <f aca="false">IF(A28="","",IF(A28&lt;E8,A28+1,""))</f>
        <v>17</v>
      </c>
      <c r="B29" s="17" t="n">
        <f aca="false">IF(OR(A29="",B7=""),"",EDATE(B7,A29-1))</f>
        <v>46736</v>
      </c>
      <c r="C29" s="15" t="n">
        <f aca="false">IF(A29="","",E29-D29)</f>
        <v>569.776553043557</v>
      </c>
      <c r="D29" s="15" t="n">
        <f aca="false">IF(A29="","",F28*E7/12)</f>
        <v>221.501151136375</v>
      </c>
      <c r="E29" s="15" t="n">
        <f aca="false">IF(A29="","",E9)</f>
        <v>791.277704179932</v>
      </c>
      <c r="F29" s="15" t="n">
        <f aca="false">IF(A29="","",IF(A29=E8,0,F28-C29))</f>
        <v>28996.5617521456</v>
      </c>
      <c r="G29" s="15" t="n">
        <f aca="false">IF(A29="","",I28*Loans!C7/12)</f>
        <v>11.6887975888625</v>
      </c>
      <c r="H29" s="15" t="n">
        <f aca="false">IF(A29="","",H9-G29)</f>
        <v>631.877050868896</v>
      </c>
      <c r="I29" s="15" t="n">
        <f aca="false">IF(A29="","",IF(A29=E8,0,I28-H29))</f>
        <v>27421.2371624012</v>
      </c>
    </row>
    <row r="30" customFormat="false" ht="15" hidden="false" customHeight="false" outlineLevel="0" collapsed="false">
      <c r="A30" s="16" t="n">
        <f aca="false">IF(A29="","",IF(A29&lt;E8,A29+1,""))</f>
        <v>18</v>
      </c>
      <c r="B30" s="17" t="n">
        <f aca="false">IF(OR(A30="",B7=""),"",EDATE(B7,A30-1))</f>
        <v>46767</v>
      </c>
      <c r="C30" s="15" t="n">
        <f aca="false">IF(A30="","",E30-D30)</f>
        <v>574.045129053441</v>
      </c>
      <c r="D30" s="15" t="n">
        <f aca="false">IF(A30="","",F29*E7/12)</f>
        <v>217.23257512649</v>
      </c>
      <c r="E30" s="15" t="n">
        <f aca="false">IF(A30="","",E9)</f>
        <v>791.277704179932</v>
      </c>
      <c r="F30" s="15" t="n">
        <f aca="false">IF(A30="","",IF(A30=E8,0,F29-C30))</f>
        <v>28422.5166230921</v>
      </c>
      <c r="G30" s="15" t="n">
        <f aca="false">IF(A30="","",I29*Loans!C7/12)</f>
        <v>11.4255154843338</v>
      </c>
      <c r="H30" s="15" t="n">
        <f aca="false">IF(A30="","",H9-G30)</f>
        <v>632.140332973425</v>
      </c>
      <c r="I30" s="15" t="n">
        <f aca="false">IF(A30="","",IF(A30=E8,0,I29-H30))</f>
        <v>26789.0968294278</v>
      </c>
    </row>
    <row r="31" customFormat="false" ht="15" hidden="false" customHeight="false" outlineLevel="0" collapsed="false">
      <c r="A31" s="16" t="n">
        <f aca="false">IF(A30="","",IF(A30&lt;E8,A30+1,""))</f>
        <v>19</v>
      </c>
      <c r="B31" s="17" t="n">
        <f aca="false">IF(OR(A31="",B7=""),"",EDATE(B7,A31-1))</f>
        <v>46798</v>
      </c>
      <c r="C31" s="15" t="n">
        <f aca="false">IF(A31="","",E31-D31)</f>
        <v>578.345683811933</v>
      </c>
      <c r="D31" s="15" t="n">
        <f aca="false">IF(A31="","",F30*E7/12)</f>
        <v>212.932020367998</v>
      </c>
      <c r="E31" s="15" t="n">
        <f aca="false">IF(A31="","",E9)</f>
        <v>791.277704179932</v>
      </c>
      <c r="F31" s="15" t="n">
        <f aca="false">IF(A31="","",IF(A31=E8,0,F30-C31))</f>
        <v>27844.1709392802</v>
      </c>
      <c r="G31" s="15" t="n">
        <f aca="false">IF(A31="","",I30*Loans!C7/12)</f>
        <v>11.1621236789282</v>
      </c>
      <c r="H31" s="15" t="n">
        <f aca="false">IF(A31="","",H9-G31)</f>
        <v>632.40372477883</v>
      </c>
      <c r="I31" s="15" t="n">
        <f aca="false">IF(A31="","",IF(A31=E8,0,I30-H31))</f>
        <v>26156.6931046489</v>
      </c>
    </row>
    <row r="32" customFormat="false" ht="15" hidden="false" customHeight="false" outlineLevel="0" collapsed="false">
      <c r="A32" s="16" t="n">
        <f aca="false">IF(A31="","",IF(A31&lt;E8,A31+1,""))</f>
        <v>20</v>
      </c>
      <c r="B32" s="17" t="n">
        <f aca="false">IF(OR(A32="",B7=""),"",EDATE(B7,A32-1))</f>
        <v>46827</v>
      </c>
      <c r="C32" s="15" t="n">
        <f aca="false">IF(A32="","",E32-D32)</f>
        <v>582.678456893158</v>
      </c>
      <c r="D32" s="15" t="n">
        <f aca="false">IF(A32="","",F31*E7/12)</f>
        <v>208.599247286774</v>
      </c>
      <c r="E32" s="15" t="n">
        <f aca="false">IF(A32="","",E9)</f>
        <v>791.277704179932</v>
      </c>
      <c r="F32" s="15" t="n">
        <f aca="false">IF(A32="","",IF(A32=E8,0,F31-C32))</f>
        <v>27261.492482387</v>
      </c>
      <c r="G32" s="15" t="n">
        <f aca="false">IF(A32="","",I31*Loans!C7/12)</f>
        <v>10.8986221269371</v>
      </c>
      <c r="H32" s="15" t="n">
        <f aca="false">IF(A32="","",H9-G32)</f>
        <v>632.667226330821</v>
      </c>
      <c r="I32" s="15" t="n">
        <f aca="false">IF(A32="","",IF(A32=E8,0,I31-H32))</f>
        <v>25524.0258783181</v>
      </c>
    </row>
    <row r="33" customFormat="false" ht="15" hidden="false" customHeight="false" outlineLevel="0" collapsed="false">
      <c r="A33" s="16" t="n">
        <f aca="false">IF(A32="","",IF(A32&lt;E8,A32+1,""))</f>
        <v>21</v>
      </c>
      <c r="B33" s="17" t="n">
        <f aca="false">IF(OR(A33="",B7=""),"",EDATE(B7,A33-1))</f>
        <v>46858</v>
      </c>
      <c r="C33" s="15" t="n">
        <f aca="false">IF(A33="","",E33-D33)</f>
        <v>587.043689666049</v>
      </c>
      <c r="D33" s="15" t="n">
        <f aca="false">IF(A33="","",F32*E7/12)</f>
        <v>204.234014513883</v>
      </c>
      <c r="E33" s="15" t="n">
        <f aca="false">IF(A33="","",E9)</f>
        <v>791.277704179932</v>
      </c>
      <c r="F33" s="15" t="n">
        <f aca="false">IF(A33="","",IF(A33=E8,0,F32-C33))</f>
        <v>26674.448792721</v>
      </c>
      <c r="G33" s="15" t="n">
        <f aca="false">IF(A33="","",I32*Loans!C7/12)</f>
        <v>10.6350107826326</v>
      </c>
      <c r="H33" s="15" t="n">
        <f aca="false">IF(A33="","",H9-G33)</f>
        <v>632.930837675126</v>
      </c>
      <c r="I33" s="15" t="n">
        <f aca="false">IF(A33="","",IF(A33=E8,0,I32-H33))</f>
        <v>24891.095040643</v>
      </c>
    </row>
    <row r="34" customFormat="false" ht="15" hidden="false" customHeight="false" outlineLevel="0" collapsed="false">
      <c r="A34" s="16" t="n">
        <f aca="false">IF(A33="","",IF(A33&lt;E8,A33+1,""))</f>
        <v>22</v>
      </c>
      <c r="B34" s="17" t="n">
        <f aca="false">IF(OR(A34="",B7=""),"",EDATE(B7,A34-1))</f>
        <v>46888</v>
      </c>
      <c r="C34" s="15" t="n">
        <f aca="false">IF(A34="","",E34-D34)</f>
        <v>591.441625307797</v>
      </c>
      <c r="D34" s="15" t="n">
        <f aca="false">IF(A34="","",F33*E7/12)</f>
        <v>199.836078872135</v>
      </c>
      <c r="E34" s="15" t="n">
        <f aca="false">IF(A34="","",E9)</f>
        <v>791.277704179932</v>
      </c>
      <c r="F34" s="15" t="n">
        <f aca="false">IF(A34="","",IF(A34=E8,0,F33-C34))</f>
        <v>26083.0071674132</v>
      </c>
      <c r="G34" s="15" t="n">
        <f aca="false">IF(A34="","",I33*Loans!C7/12)</f>
        <v>10.3712896002679</v>
      </c>
      <c r="H34" s="15" t="n">
        <f aca="false">IF(A34="","",H9-G34)</f>
        <v>633.194558857491</v>
      </c>
      <c r="I34" s="15" t="n">
        <f aca="false">IF(A34="","",IF(A34=E8,0,I33-H34))</f>
        <v>24257.9004817855</v>
      </c>
    </row>
    <row r="35" customFormat="false" ht="15" hidden="false" customHeight="false" outlineLevel="0" collapsed="false">
      <c r="A35" s="16" t="n">
        <f aca="false">IF(A34="","",IF(A34&lt;E8,A34+1,""))</f>
        <v>23</v>
      </c>
      <c r="B35" s="17" t="n">
        <f aca="false">IF(OR(A35="",B7=""),"",EDATE(B7,A35-1))</f>
        <v>46919</v>
      </c>
      <c r="C35" s="15" t="n">
        <f aca="false">IF(A35="","",E35-D35)</f>
        <v>595.872508817395</v>
      </c>
      <c r="D35" s="15" t="n">
        <f aca="false">IF(A35="","",F34*E7/12)</f>
        <v>195.405195362537</v>
      </c>
      <c r="E35" s="15" t="n">
        <f aca="false">IF(A35="","",E9)</f>
        <v>791.277704179932</v>
      </c>
      <c r="F35" s="15" t="n">
        <f aca="false">IF(A35="","",IF(A35=E8,0,F34-C35))</f>
        <v>25487.1346585958</v>
      </c>
      <c r="G35" s="15" t="n">
        <f aca="false">IF(A35="","",I34*Loans!C7/12)</f>
        <v>10.1074585340773</v>
      </c>
      <c r="H35" s="15" t="n">
        <f aca="false">IF(A35="","",H9-G35)</f>
        <v>633.458389923681</v>
      </c>
      <c r="I35" s="15" t="n">
        <f aca="false">IF(A35="","",IF(A35=E8,0,I34-H35))</f>
        <v>23624.4420918618</v>
      </c>
    </row>
    <row r="36" customFormat="false" ht="15" hidden="false" customHeight="false" outlineLevel="0" collapsed="false">
      <c r="A36" s="16" t="n">
        <f aca="false">IF(A35="","",IF(A35&lt;E8,A35+1,""))</f>
        <v>24</v>
      </c>
      <c r="B36" s="17" t="n">
        <f aca="false">IF(OR(A36="",B7=""),"",EDATE(B7,A36-1))</f>
        <v>46949</v>
      </c>
      <c r="C36" s="15" t="n">
        <f aca="false">IF(A36="","",E36-D36)</f>
        <v>600.336587029285</v>
      </c>
      <c r="D36" s="15" t="n">
        <f aca="false">IF(A36="","",F35*E7/12)</f>
        <v>190.941117150647</v>
      </c>
      <c r="E36" s="15" t="n">
        <f aca="false">IF(A36="","",E9)</f>
        <v>791.277704179932</v>
      </c>
      <c r="F36" s="15" t="n">
        <f aca="false">IF(A36="","",IF(A36=E8,0,F35-C36))</f>
        <v>24886.7980715665</v>
      </c>
      <c r="G36" s="15" t="n">
        <f aca="false">IF(A36="","",I35*Loans!C7/12)</f>
        <v>9.84351753827576</v>
      </c>
      <c r="H36" s="15" t="n">
        <f aca="false">IF(A36="","",H9-G36)</f>
        <v>633.722330919483</v>
      </c>
      <c r="I36" s="15" t="n">
        <f aca="false">IF(A36="","",IF(A36=E8,0,I35-H36))</f>
        <v>22990.7197609424</v>
      </c>
    </row>
    <row r="37" customFormat="false" ht="15" hidden="false" customHeight="false" outlineLevel="0" collapsed="false">
      <c r="A37" s="16" t="n">
        <f aca="false">IF(A36="","",IF(A36&lt;E8,A36+1,""))</f>
        <v>25</v>
      </c>
      <c r="B37" s="17" t="n">
        <f aca="false">IF(OR(A37="",B7=""),"",EDATE(B7,A37-1))</f>
        <v>46980</v>
      </c>
      <c r="C37" s="15" t="n">
        <f aca="false">IF(A37="","",E37-D37)</f>
        <v>604.834108627113</v>
      </c>
      <c r="D37" s="15" t="n">
        <f aca="false">IF(A37="","",F36*E7/12)</f>
        <v>186.443595552819</v>
      </c>
      <c r="E37" s="15" t="n">
        <f aca="false">IF(A37="","",E9)</f>
        <v>791.277704179932</v>
      </c>
      <c r="F37" s="15" t="n">
        <f aca="false">IF(A37="","",IF(A37=E8,0,F36-C37))</f>
        <v>24281.9639629394</v>
      </c>
      <c r="G37" s="15" t="n">
        <f aca="false">IF(A37="","",I36*Loans!C7/12)</f>
        <v>9.57946656705931</v>
      </c>
      <c r="H37" s="15" t="n">
        <f aca="false">IF(A37="","",H9-G37)</f>
        <v>633.986381890699</v>
      </c>
      <c r="I37" s="15" t="n">
        <f aca="false">IF(A37="","",IF(A37=E8,0,I36-H37))</f>
        <v>22356.7333790517</v>
      </c>
    </row>
    <row r="38" customFormat="false" ht="15" hidden="false" customHeight="false" outlineLevel="0" collapsed="false">
      <c r="A38" s="16" t="n">
        <f aca="false">IF(A37="","",IF(A37&lt;E8,A37+1,""))</f>
        <v>26</v>
      </c>
      <c r="B38" s="17" t="n">
        <f aca="false">IF(OR(A38="",B7=""),"",EDATE(B7,A38-1))</f>
        <v>47011</v>
      </c>
      <c r="C38" s="15" t="n">
        <f aca="false">IF(A38="","",E38-D38)</f>
        <v>609.365324157578</v>
      </c>
      <c r="D38" s="15" t="n">
        <f aca="false">IF(A38="","",F37*E7/12)</f>
        <v>181.912380022354</v>
      </c>
      <c r="E38" s="15" t="n">
        <f aca="false">IF(A38="","",E9)</f>
        <v>791.277704179932</v>
      </c>
      <c r="F38" s="15" t="n">
        <f aca="false">IF(A38="","",IF(A38=E8,0,F37-C38))</f>
        <v>23672.5986387818</v>
      </c>
      <c r="G38" s="15" t="n">
        <f aca="false">IF(A38="","",I37*Loans!C7/12)</f>
        <v>9.31530557460486</v>
      </c>
      <c r="H38" s="15" t="n">
        <f aca="false">IF(A38="","",H9-G38)</f>
        <v>634.250542883154</v>
      </c>
      <c r="I38" s="15" t="n">
        <f aca="false">IF(A38="","",IF(A38=E8,0,I37-H38))</f>
        <v>21722.4828361685</v>
      </c>
    </row>
    <row r="39" customFormat="false" ht="15" hidden="false" customHeight="false" outlineLevel="0" collapsed="false">
      <c r="A39" s="16" t="n">
        <f aca="false">IF(A38="","",IF(A38&lt;E8,A38+1,""))</f>
        <v>27</v>
      </c>
      <c r="B39" s="17" t="n">
        <f aca="false">IF(OR(A39="",B7=""),"",EDATE(B7,A39-1))</f>
        <v>47041</v>
      </c>
      <c r="C39" s="15" t="n">
        <f aca="false">IF(A39="","",E39-D39)</f>
        <v>613.930486044392</v>
      </c>
      <c r="D39" s="15" t="n">
        <f aca="false">IF(A39="","",F38*E7/12)</f>
        <v>177.34721813554</v>
      </c>
      <c r="E39" s="15" t="n">
        <f aca="false">IF(A39="","",E9)</f>
        <v>791.277704179932</v>
      </c>
      <c r="F39" s="15" t="n">
        <f aca="false">IF(A39="","",IF(A39=E8,0,F38-C39))</f>
        <v>23058.6681527374</v>
      </c>
      <c r="G39" s="15" t="n">
        <f aca="false">IF(A39="","",I38*Loans!C7/12)</f>
        <v>9.05103451507021</v>
      </c>
      <c r="H39" s="15" t="n">
        <f aca="false">IF(A39="","",H9-G39)</f>
        <v>634.514813942688</v>
      </c>
      <c r="I39" s="15" t="n">
        <f aca="false">IF(A39="","",IF(A39=E8,0,I38-H39))</f>
        <v>21087.9680222258</v>
      </c>
    </row>
    <row r="40" customFormat="false" ht="15" hidden="false" customHeight="false" outlineLevel="0" collapsed="false">
      <c r="A40" s="16" t="n">
        <f aca="false">IF(A39="","",IF(A39&lt;E8,A39+1,""))</f>
        <v>28</v>
      </c>
      <c r="B40" s="17" t="n">
        <f aca="false">IF(OR(A40="",B7=""),"",EDATE(B7,A40-1))</f>
        <v>47072</v>
      </c>
      <c r="C40" s="15" t="n">
        <f aca="false">IF(A40="","",E40-D40)</f>
        <v>618.529848602341</v>
      </c>
      <c r="D40" s="15" t="n">
        <f aca="false">IF(A40="","",F39*E7/12)</f>
        <v>172.747855577591</v>
      </c>
      <c r="E40" s="15" t="n">
        <f aca="false">IF(A40="","",E9)</f>
        <v>791.277704179932</v>
      </c>
      <c r="F40" s="15" t="n">
        <f aca="false">IF(A40="","",IF(A40=E8,0,F39-C40))</f>
        <v>22440.1383041351</v>
      </c>
      <c r="G40" s="15" t="n">
        <f aca="false">IF(A40="","",I39*Loans!C7/12)</f>
        <v>8.78665334259409</v>
      </c>
      <c r="H40" s="15" t="n">
        <f aca="false">IF(A40="","",H9-G40)</f>
        <v>634.779195115164</v>
      </c>
      <c r="I40" s="15" t="n">
        <f aca="false">IF(A40="","",IF(A40=E8,0,I39-H40))</f>
        <v>20453.1888271106</v>
      </c>
    </row>
    <row r="41" customFormat="false" ht="15" hidden="false" customHeight="false" outlineLevel="0" collapsed="false">
      <c r="A41" s="16" t="n">
        <f aca="false">IF(A40="","",IF(A40&lt;E8,A40+1,""))</f>
        <v>29</v>
      </c>
      <c r="B41" s="17" t="n">
        <f aca="false">IF(OR(A41="",B7=""),"",EDATE(B7,A41-1))</f>
        <v>47102</v>
      </c>
      <c r="C41" s="15" t="n">
        <f aca="false">IF(A41="","",E41-D41)</f>
        <v>623.163668051453</v>
      </c>
      <c r="D41" s="15" t="n">
        <f aca="false">IF(A41="","",F40*E7/12)</f>
        <v>168.114036128479</v>
      </c>
      <c r="E41" s="15" t="n">
        <f aca="false">IF(A41="","",E9)</f>
        <v>791.277704179932</v>
      </c>
      <c r="F41" s="15" t="n">
        <f aca="false">IF(A41="","",IF(A41=E8,0,F40-C41))</f>
        <v>21816.9746360836</v>
      </c>
      <c r="G41" s="15" t="n">
        <f aca="false">IF(A41="","",I40*Loans!C7/12)</f>
        <v>8.5221620112961</v>
      </c>
      <c r="H41" s="15" t="n">
        <f aca="false">IF(A41="","",H9-G41)</f>
        <v>635.043686446462</v>
      </c>
      <c r="I41" s="15" t="n">
        <f aca="false">IF(A41="","",IF(A41=E8,0,I40-H41))</f>
        <v>19818.1451406642</v>
      </c>
    </row>
    <row r="42" customFormat="false" ht="15" hidden="false" customHeight="false" outlineLevel="0" collapsed="false">
      <c r="A42" s="16" t="n">
        <f aca="false">IF(A41="","",IF(A41&lt;E8,A41+1,""))</f>
        <v>30</v>
      </c>
      <c r="B42" s="17" t="n">
        <f aca="false">IF(OR(A42="",B7=""),"",EDATE(B7,A42-1))</f>
        <v>47133</v>
      </c>
      <c r="C42" s="15" t="n">
        <f aca="false">IF(A42="","",E42-D42)</f>
        <v>627.832202531272</v>
      </c>
      <c r="D42" s="15" t="n">
        <f aca="false">IF(A42="","",F41*E7/12)</f>
        <v>163.44550164866</v>
      </c>
      <c r="E42" s="15" t="n">
        <f aca="false">IF(A42="","",E9)</f>
        <v>791.277704179932</v>
      </c>
      <c r="F42" s="15" t="n">
        <f aca="false">IF(A42="","",IF(A42=E8,0,F41-C42))</f>
        <v>21189.1424335523</v>
      </c>
      <c r="G42" s="15" t="n">
        <f aca="false">IF(A42="","",I41*Loans!C7/12)</f>
        <v>8.25756047527674</v>
      </c>
      <c r="H42" s="15" t="n">
        <f aca="false">IF(A42="","",H9-G42)</f>
        <v>635.308287982482</v>
      </c>
      <c r="I42" s="15" t="n">
        <f aca="false">IF(A42="","",IF(A42=E8,0,I41-H42))</f>
        <v>19182.8368526817</v>
      </c>
    </row>
    <row r="43" customFormat="false" ht="15" hidden="false" customHeight="false" outlineLevel="0" collapsed="false">
      <c r="A43" s="16" t="n">
        <f aca="false">IF(A42="","",IF(A42&lt;E8,A42+1,""))</f>
        <v>31</v>
      </c>
      <c r="B43" s="17" t="n">
        <f aca="false">IF(OR(A43="",B7=""),"",EDATE(B7,A43-1))</f>
        <v>47164</v>
      </c>
      <c r="C43" s="15" t="n">
        <f aca="false">IF(A43="","",E43-D43)</f>
        <v>632.535712115236</v>
      </c>
      <c r="D43" s="15" t="n">
        <f aca="false">IF(A43="","",F42*E7/12)</f>
        <v>158.741992064696</v>
      </c>
      <c r="E43" s="15" t="n">
        <f aca="false">IF(A43="","",E9)</f>
        <v>791.277704179932</v>
      </c>
      <c r="F43" s="15" t="n">
        <f aca="false">IF(A43="","",IF(A43=E8,0,F42-C43))</f>
        <v>20556.6067214371</v>
      </c>
      <c r="G43" s="15" t="n">
        <f aca="false">IF(A43="","",I42*Loans!C7/12)</f>
        <v>7.99284868861738</v>
      </c>
      <c r="H43" s="15" t="n">
        <f aca="false">IF(A43="","",H9-G43)</f>
        <v>635.572999769141</v>
      </c>
      <c r="I43" s="15" t="n">
        <f aca="false">IF(A43="","",IF(A43=E8,0,I42-H43))</f>
        <v>18547.2638529126</v>
      </c>
    </row>
    <row r="44" customFormat="false" ht="15" hidden="false" customHeight="false" outlineLevel="0" collapsed="false">
      <c r="A44" s="16" t="n">
        <f aca="false">IF(A43="","",IF(A43&lt;E8,A43+1,""))</f>
        <v>32</v>
      </c>
      <c r="B44" s="17" t="n">
        <f aca="false">IF(OR(A44="",B7=""),"",EDATE(B7,A44-1))</f>
        <v>47192</v>
      </c>
      <c r="C44" s="15" t="n">
        <f aca="false">IF(A44="","",E44-D44)</f>
        <v>637.274458825166</v>
      </c>
      <c r="D44" s="15" t="n">
        <f aca="false">IF(A44="","",F43*E7/12)</f>
        <v>154.003245354766</v>
      </c>
      <c r="E44" s="15" t="n">
        <f aca="false">IF(A44="","",E9)</f>
        <v>791.277704179932</v>
      </c>
      <c r="F44" s="15" t="n">
        <f aca="false">IF(A44="","",IF(A44=E8,0,F43-C44))</f>
        <v>19919.3322626119</v>
      </c>
      <c r="G44" s="15" t="n">
        <f aca="false">IF(A44="","",I43*Loans!C7/12)</f>
        <v>7.72802660538023</v>
      </c>
      <c r="H44" s="15" t="n">
        <f aca="false">IF(A44="","",H9-G44)</f>
        <v>635.837821852378</v>
      </c>
      <c r="I44" s="15" t="n">
        <f aca="false">IF(A44="","",IF(A44=E8,0,I43-H44))</f>
        <v>17911.4260310602</v>
      </c>
    </row>
    <row r="45" customFormat="false" ht="15" hidden="false" customHeight="false" outlineLevel="0" collapsed="false">
      <c r="A45" s="16" t="n">
        <f aca="false">IF(A44="","",IF(A44&lt;E8,A44+1,""))</f>
        <v>33</v>
      </c>
      <c r="B45" s="17" t="n">
        <f aca="false">IF(OR(A45="",B7=""),"",EDATE(B7,A45-1))</f>
        <v>47223</v>
      </c>
      <c r="C45" s="15" t="n">
        <f aca="false">IF(A45="","",E45-D45)</f>
        <v>642.048706645864</v>
      </c>
      <c r="D45" s="15" t="n">
        <f aca="false">IF(A45="","",F44*E7/12)</f>
        <v>149.228997534068</v>
      </c>
      <c r="E45" s="15" t="n">
        <f aca="false">IF(A45="","",E9)</f>
        <v>791.277704179932</v>
      </c>
      <c r="F45" s="15" t="n">
        <f aca="false">IF(A45="","",IF(A45=E8,0,F44-C45))</f>
        <v>19277.2835559661</v>
      </c>
      <c r="G45" s="15" t="n">
        <f aca="false">IF(A45="","",I44*Loans!C7/12)</f>
        <v>7.46309417960841</v>
      </c>
      <c r="H45" s="15" t="n">
        <f aca="false">IF(A45="","",H9-G45)</f>
        <v>636.10275427815</v>
      </c>
      <c r="I45" s="15" t="n">
        <f aca="false">IF(A45="","",IF(A45=E8,0,I44-H45))</f>
        <v>17275.323276782</v>
      </c>
    </row>
    <row r="46" customFormat="false" ht="15" hidden="false" customHeight="false" outlineLevel="0" collapsed="false">
      <c r="A46" s="16" t="n">
        <f aca="false">IF(A45="","",IF(A45&lt;E8,A45+1,""))</f>
        <v>34</v>
      </c>
      <c r="B46" s="17" t="n">
        <f aca="false">IF(OR(A46="",B7=""),"",EDATE(B7,A46-1))</f>
        <v>47253</v>
      </c>
      <c r="C46" s="15" t="n">
        <f aca="false">IF(A46="","",E46-D46)</f>
        <v>646.858721539819</v>
      </c>
      <c r="D46" s="15" t="n">
        <f aca="false">IF(A46="","",F45*E7/12)</f>
        <v>144.418982640113</v>
      </c>
      <c r="E46" s="15" t="n">
        <f aca="false">IF(A46="","",E9)</f>
        <v>791.277704179932</v>
      </c>
      <c r="F46" s="15" t="n">
        <f aca="false">IF(A46="","",IF(A46=E8,0,F45-C46))</f>
        <v>18630.4248344263</v>
      </c>
      <c r="G46" s="15" t="n">
        <f aca="false">IF(A46="","",I45*Loans!C7/12)</f>
        <v>7.19805136532585</v>
      </c>
      <c r="H46" s="15" t="n">
        <f aca="false">IF(A46="","",H9-G46)</f>
        <v>636.367797092433</v>
      </c>
      <c r="I46" s="15" t="n">
        <f aca="false">IF(A46="","",IF(A46=E8,0,I45-H46))</f>
        <v>16638.9554796896</v>
      </c>
    </row>
    <row r="47" customFormat="false" ht="15" hidden="false" customHeight="false" outlineLevel="0" collapsed="false">
      <c r="A47" s="16" t="n">
        <f aca="false">IF(A46="","",IF(A46&lt;E8,A46+1,""))</f>
        <v>35</v>
      </c>
      <c r="B47" s="17" t="n">
        <f aca="false">IF(OR(A47="",B7=""),"",EDATE(B7,A47-1))</f>
        <v>47284</v>
      </c>
      <c r="C47" s="15" t="n">
        <f aca="false">IF(A47="","",E47-D47)</f>
        <v>651.704771462022</v>
      </c>
      <c r="D47" s="15" t="n">
        <f aca="false">IF(A47="","",F46*E7/12)</f>
        <v>139.57293271791</v>
      </c>
      <c r="E47" s="15" t="n">
        <f aca="false">IF(A47="","",E9)</f>
        <v>791.277704179932</v>
      </c>
      <c r="F47" s="15" t="n">
        <f aca="false">IF(A47="","",IF(A47=E8,0,F46-C47))</f>
        <v>17978.7200629642</v>
      </c>
      <c r="G47" s="15" t="n">
        <f aca="false">IF(A47="","",I46*Loans!C7/12)</f>
        <v>6.93289811653733</v>
      </c>
      <c r="H47" s="15" t="n">
        <f aca="false">IF(A47="","",H9-G47)</f>
        <v>636.632950341221</v>
      </c>
      <c r="I47" s="15" t="n">
        <f aca="false">IF(A47="","",IF(A47=E8,0,I46-H47))</f>
        <v>16002.3225293484</v>
      </c>
    </row>
    <row r="48" customFormat="false" ht="15" hidden="false" customHeight="false" outlineLevel="0" collapsed="false">
      <c r="A48" s="16" t="n">
        <f aca="false">IF(A47="","",IF(A47&lt;E8,A47+1,""))</f>
        <v>36</v>
      </c>
      <c r="B48" s="17" t="n">
        <f aca="false">IF(OR(A48="",B7=""),"",EDATE(B7,A48-1))</f>
        <v>47314</v>
      </c>
      <c r="C48" s="15" t="n">
        <f aca="false">IF(A48="","",E48-D48)</f>
        <v>656.587126374892</v>
      </c>
      <c r="D48" s="15" t="n">
        <f aca="false">IF(A48="","",F47*E7/12)</f>
        <v>134.69057780504</v>
      </c>
      <c r="E48" s="15" t="n">
        <f aca="false">IF(A48="","",E9)</f>
        <v>791.277704179932</v>
      </c>
      <c r="F48" s="15" t="n">
        <f aca="false">IF(A48="","",IF(A48=E8,0,F47-C48))</f>
        <v>17322.1329365894</v>
      </c>
      <c r="G48" s="15" t="n">
        <f aca="false">IF(A48="","",I47*Loans!C7/12)</f>
        <v>6.66763438722849</v>
      </c>
      <c r="H48" s="15" t="n">
        <f aca="false">IF(A48="","",H9-G48)</f>
        <v>636.89821407053</v>
      </c>
      <c r="I48" s="15" t="n">
        <f aca="false">IF(A48="","",IF(A48=E8,0,I47-H48))</f>
        <v>15365.4243152778</v>
      </c>
    </row>
    <row r="49" customFormat="false" ht="15" hidden="false" customHeight="false" outlineLevel="0" collapsed="false">
      <c r="A49" s="16" t="n">
        <f aca="false">IF(A48="","",IF(A48&lt;E8,A48+1,""))</f>
        <v>37</v>
      </c>
      <c r="B49" s="17" t="n">
        <f aca="false">IF(OR(A49="",B7=""),"",EDATE(B7,A49-1))</f>
        <v>47345</v>
      </c>
      <c r="C49" s="15" t="n">
        <f aca="false">IF(A49="","",E49-D49)</f>
        <v>661.506058263317</v>
      </c>
      <c r="D49" s="15" t="n">
        <f aca="false">IF(A49="","",F48*E7/12)</f>
        <v>129.771645916615</v>
      </c>
      <c r="E49" s="15" t="n">
        <f aca="false">IF(A49="","",E9)</f>
        <v>791.277704179932</v>
      </c>
      <c r="F49" s="15" t="n">
        <f aca="false">IF(A49="","",IF(A49=E8,0,F48-C49))</f>
        <v>16660.626878326</v>
      </c>
      <c r="G49" s="15" t="n">
        <f aca="false">IF(A49="","",I48*Loans!C7/12)</f>
        <v>6.40226013136577</v>
      </c>
      <c r="H49" s="15" t="n">
        <f aca="false">IF(A49="","",H9-G49)</f>
        <v>637.163588326393</v>
      </c>
      <c r="I49" s="15" t="n">
        <f aca="false">IF(A49="","",IF(A49=E8,0,I48-H49))</f>
        <v>14728.2607269515</v>
      </c>
    </row>
    <row r="50" customFormat="false" ht="15" hidden="false" customHeight="false" outlineLevel="0" collapsed="false">
      <c r="A50" s="16" t="n">
        <f aca="false">IF(A49="","",IF(A49&lt;E8,A49+1,""))</f>
        <v>38</v>
      </c>
      <c r="B50" s="17" t="n">
        <f aca="false">IF(OR(A50="",B7=""),"",EDATE(B7,A50-1))</f>
        <v>47376</v>
      </c>
      <c r="C50" s="15" t="n">
        <f aca="false">IF(A50="","",E50-D50)</f>
        <v>666.461841149806</v>
      </c>
      <c r="D50" s="15" t="n">
        <f aca="false">IF(A50="","",F49*E7/12)</f>
        <v>124.815863030126</v>
      </c>
      <c r="E50" s="15" t="n">
        <f aca="false">IF(A50="","",E9)</f>
        <v>791.277704179932</v>
      </c>
      <c r="F50" s="15" t="n">
        <f aca="false">IF(A50="","",IF(A50=E8,0,F49-C50))</f>
        <v>15994.1650371762</v>
      </c>
      <c r="G50" s="15" t="n">
        <f aca="false">IF(A50="","",I49*Loans!C7/12)</f>
        <v>6.13677530289644</v>
      </c>
      <c r="H50" s="15" t="n">
        <f aca="false">IF(A50="","",H9-G50)</f>
        <v>637.429073154862</v>
      </c>
      <c r="I50" s="15" t="n">
        <f aca="false">IF(A50="","",IF(A50=E8,0,I49-H50))</f>
        <v>14090.8316537966</v>
      </c>
    </row>
    <row r="51" customFormat="false" ht="15" hidden="false" customHeight="false" outlineLevel="0" collapsed="false">
      <c r="A51" s="16" t="n">
        <f aca="false">IF(A50="","",IF(A50&lt;E8,A50+1,""))</f>
        <v>39</v>
      </c>
      <c r="B51" s="17" t="n">
        <f aca="false">IF(OR(A51="",B7=""),"",EDATE(B7,A51-1))</f>
        <v>47406</v>
      </c>
      <c r="C51" s="15" t="n">
        <f aca="false">IF(A51="","",E51-D51)</f>
        <v>671.454751109753</v>
      </c>
      <c r="D51" s="15" t="n">
        <f aca="false">IF(A51="","",F50*E7/12)</f>
        <v>119.822953070179</v>
      </c>
      <c r="E51" s="15" t="n">
        <f aca="false">IF(A51="","",E9)</f>
        <v>791.277704179932</v>
      </c>
      <c r="F51" s="15" t="n">
        <f aca="false">IF(A51="","",IF(A51=E8,0,F50-C51))</f>
        <v>15322.7102860665</v>
      </c>
      <c r="G51" s="15" t="n">
        <f aca="false">IF(A51="","",I50*Loans!C7/12)</f>
        <v>5.87117985574858</v>
      </c>
      <c r="H51" s="15" t="n">
        <f aca="false">IF(A51="","",H9-G51)</f>
        <v>637.69466860201</v>
      </c>
      <c r="I51" s="15" t="n">
        <f aca="false">IF(A51="","",IF(A51=E8,0,I50-H51))</f>
        <v>13453.1369851946</v>
      </c>
    </row>
    <row r="52" customFormat="false" ht="15" hidden="false" customHeight="false" outlineLevel="0" collapsed="false">
      <c r="A52" s="16" t="n">
        <f aca="false">IF(A51="","",IF(A51&lt;E8,A51+1,""))</f>
        <v>40</v>
      </c>
      <c r="B52" s="17" t="n">
        <f aca="false">IF(OR(A52="",B7=""),"",EDATE(B7,A52-1))</f>
        <v>47437</v>
      </c>
      <c r="C52" s="15" t="n">
        <f aca="false">IF(A52="","",E52-D52)</f>
        <v>676.485066286817</v>
      </c>
      <c r="D52" s="15" t="n">
        <f aca="false">IF(A52="","",F51*E7/12)</f>
        <v>114.792637893115</v>
      </c>
      <c r="E52" s="15" t="n">
        <f aca="false">IF(A52="","",E9)</f>
        <v>791.277704179932</v>
      </c>
      <c r="F52" s="15" t="n">
        <f aca="false">IF(A52="","",IF(A52=E8,0,F51-C52))</f>
        <v>14646.2252197797</v>
      </c>
      <c r="G52" s="15" t="n">
        <f aca="false">IF(A52="","",I51*Loans!C7/12)</f>
        <v>5.60547374383108</v>
      </c>
      <c r="H52" s="15" t="n">
        <f aca="false">IF(A52="","",H9-G52)</f>
        <v>637.960374713927</v>
      </c>
      <c r="I52" s="15" t="n">
        <f aca="false">IF(A52="","",IF(A52=E8,0,I51-H52))</f>
        <v>12815.1766104807</v>
      </c>
    </row>
    <row r="53" customFormat="false" ht="15" hidden="false" customHeight="false" outlineLevel="0" collapsed="false">
      <c r="A53" s="16" t="n">
        <f aca="false">IF(A52="","",IF(A52&lt;E8,A52+1,""))</f>
        <v>41</v>
      </c>
      <c r="B53" s="17" t="n">
        <f aca="false">IF(OR(A53="",B7=""),"",EDATE(B7,A53-1))</f>
        <v>47467</v>
      </c>
      <c r="C53" s="15" t="n">
        <f aca="false">IF(A53="","",E53-D53)</f>
        <v>681.553066908416</v>
      </c>
      <c r="D53" s="15" t="n">
        <f aca="false">IF(A53="","",F52*E7/12)</f>
        <v>109.724637271516</v>
      </c>
      <c r="E53" s="15" t="n">
        <f aca="false">IF(A53="","",E9)</f>
        <v>791.277704179932</v>
      </c>
      <c r="F53" s="15" t="n">
        <f aca="false">IF(A53="","",IF(A53=E8,0,F52-C53))</f>
        <v>13964.6721528712</v>
      </c>
      <c r="G53" s="15" t="n">
        <f aca="false">IF(A53="","",I52*Loans!C7/12)</f>
        <v>5.33965692103361</v>
      </c>
      <c r="H53" s="15" t="n">
        <f aca="false">IF(A53="","",H9-G53)</f>
        <v>638.226191536725</v>
      </c>
      <c r="I53" s="15" t="n">
        <f aca="false">IF(A53="","",IF(A53=E8,0,I52-H53))</f>
        <v>12176.9504189439</v>
      </c>
    </row>
    <row r="54" customFormat="false" ht="15" hidden="false" customHeight="false" outlineLevel="0" collapsed="false">
      <c r="A54" s="16" t="n">
        <f aca="false">IF(A53="","",IF(A53&lt;E8,A53+1,""))</f>
        <v>42</v>
      </c>
      <c r="B54" s="17" t="n">
        <f aca="false">IF(OR(A54="",B7=""),"",EDATE(B7,A54-1))</f>
        <v>47498</v>
      </c>
      <c r="C54" s="15" t="n">
        <f aca="false">IF(A54="","",E54-D54)</f>
        <v>686.659035301338</v>
      </c>
      <c r="D54" s="15" t="n">
        <f aca="false">IF(A54="","",F53*E7/12)</f>
        <v>104.618668878594</v>
      </c>
      <c r="E54" s="15" t="n">
        <f aca="false">IF(A54="","",E9)</f>
        <v>791.277704179932</v>
      </c>
      <c r="F54" s="15" t="n">
        <f aca="false">IF(A54="","",IF(A54=E8,0,F53-C54))</f>
        <v>13278.0131175699</v>
      </c>
      <c r="G54" s="15" t="n">
        <f aca="false">IF(A54="","",I53*Loans!C7/12)</f>
        <v>5.07372934122664</v>
      </c>
      <c r="H54" s="15" t="n">
        <f aca="false">IF(A54="","",H9-G54)</f>
        <v>638.492119116532</v>
      </c>
      <c r="I54" s="15" t="n">
        <f aca="false">IF(A54="","",IF(A54=E8,0,I53-H54))</f>
        <v>11538.4582998274</v>
      </c>
    </row>
    <row r="55" customFormat="false" ht="15" hidden="false" customHeight="false" outlineLevel="0" collapsed="false">
      <c r="A55" s="16" t="n">
        <f aca="false">IF(A54="","",IF(A54&lt;E8,A54+1,""))</f>
        <v>43</v>
      </c>
      <c r="B55" s="17" t="n">
        <f aca="false">IF(OR(A55="",B7=""),"",EDATE(B7,A55-1))</f>
        <v>47529</v>
      </c>
      <c r="C55" s="15" t="n">
        <f aca="false">IF(A55="","",E55-D55)</f>
        <v>691.803255907471</v>
      </c>
      <c r="D55" s="15" t="n">
        <f aca="false">IF(A55="","",F54*E7/12)</f>
        <v>99.4744482724612</v>
      </c>
      <c r="E55" s="15" t="n">
        <f aca="false">IF(A55="","",E9)</f>
        <v>791.277704179932</v>
      </c>
      <c r="F55" s="15" t="n">
        <f aca="false">IF(A55="","",IF(A55=E8,0,F54-C55))</f>
        <v>12586.2098616624</v>
      </c>
      <c r="G55" s="15" t="n">
        <f aca="false">IF(A55="","",I54*Loans!C7/12)</f>
        <v>4.80769095826141</v>
      </c>
      <c r="H55" s="15" t="n">
        <f aca="false">IF(A55="","",H9-G55)</f>
        <v>638.758157499497</v>
      </c>
      <c r="I55" s="15" t="n">
        <f aca="false">IF(A55="","",IF(A55=E8,0,I54-H55))</f>
        <v>10899.7001423279</v>
      </c>
    </row>
    <row r="56" customFormat="false" ht="15" hidden="false" customHeight="false" outlineLevel="0" collapsed="false">
      <c r="A56" s="16" t="n">
        <f aca="false">IF(A55="","",IF(A55&lt;E8,A55+1,""))</f>
        <v>44</v>
      </c>
      <c r="B56" s="17" t="n">
        <f aca="false">IF(OR(A56="",B7=""),"",EDATE(B7,A56-1))</f>
        <v>47557</v>
      </c>
      <c r="C56" s="15" t="n">
        <f aca="false">IF(A56="","",E56-D56)</f>
        <v>696.986015299644</v>
      </c>
      <c r="D56" s="15" t="n">
        <f aca="false">IF(A56="","",F55*E7/12)</f>
        <v>94.2916888802877</v>
      </c>
      <c r="E56" s="15" t="n">
        <f aca="false">IF(A56="","",E9)</f>
        <v>791.277704179932</v>
      </c>
      <c r="F56" s="15" t="n">
        <f aca="false">IF(A56="","",IF(A56=E8,0,F55-C56))</f>
        <v>11889.2238463628</v>
      </c>
      <c r="G56" s="15" t="n">
        <f aca="false">IF(A56="","",I55*Loans!C7/12)</f>
        <v>4.54154172596996</v>
      </c>
      <c r="H56" s="15" t="n">
        <f aca="false">IF(A56="","",H9-G56)</f>
        <v>639.024306731788</v>
      </c>
      <c r="I56" s="15" t="n">
        <f aca="false">IF(A56="","",IF(A56=E8,0,I55-H56))</f>
        <v>10260.6758355961</v>
      </c>
    </row>
    <row r="57" customFormat="false" ht="15" hidden="false" customHeight="false" outlineLevel="0" collapsed="false">
      <c r="A57" s="16" t="n">
        <f aca="false">IF(A56="","",IF(A56&lt;E8,A56+1,""))</f>
        <v>45</v>
      </c>
      <c r="B57" s="17" t="n">
        <f aca="false">IF(OR(A57="",B7=""),"",EDATE(B7,A57-1))</f>
        <v>47588</v>
      </c>
      <c r="C57" s="15" t="n">
        <f aca="false">IF(A57="","",E57-D57)</f>
        <v>702.207602197597</v>
      </c>
      <c r="D57" s="15" t="n">
        <f aca="false">IF(A57="","",F56*E7/12)</f>
        <v>89.0701019823346</v>
      </c>
      <c r="E57" s="15" t="n">
        <f aca="false">IF(A57="","",E9)</f>
        <v>791.277704179932</v>
      </c>
      <c r="F57" s="15" t="n">
        <f aca="false">IF(A57="","",IF(A57=E8,0,F56-C57))</f>
        <v>11187.0162441652</v>
      </c>
      <c r="G57" s="15" t="n">
        <f aca="false">IF(A57="","",I56*Loans!C7/12)</f>
        <v>4.27528159816505</v>
      </c>
      <c r="H57" s="15" t="n">
        <f aca="false">IF(A57="","",H9-G57)</f>
        <v>639.290566859593</v>
      </c>
      <c r="I57" s="15" t="n">
        <f aca="false">IF(A57="","",IF(A57=E8,0,I56-H57))</f>
        <v>9621.38526873652</v>
      </c>
    </row>
    <row r="58" customFormat="false" ht="15" hidden="false" customHeight="false" outlineLevel="0" collapsed="false">
      <c r="A58" s="16" t="n">
        <f aca="false">IF(A57="","",IF(A57&lt;E8,A57+1,""))</f>
        <v>46</v>
      </c>
      <c r="B58" s="17" t="n">
        <f aca="false">IF(OR(A58="",B7=""),"",EDATE(B7,A58-1))</f>
        <v>47618</v>
      </c>
      <c r="C58" s="15" t="n">
        <f aca="false">IF(A58="","",E58-D58)</f>
        <v>707.468307484061</v>
      </c>
      <c r="D58" s="15" t="n">
        <f aca="false">IF(A58="","",F57*E7/12)</f>
        <v>83.8093966958709</v>
      </c>
      <c r="E58" s="15" t="n">
        <f aca="false">IF(A58="","",E9)</f>
        <v>791.277704179932</v>
      </c>
      <c r="F58" s="15" t="n">
        <f aca="false">IF(A58="","",IF(A58=E8,0,F57-C58))</f>
        <v>10479.5479366811</v>
      </c>
      <c r="G58" s="15" t="n">
        <f aca="false">IF(A58="","",I57*Loans!C7/12)</f>
        <v>4.00891052864022</v>
      </c>
      <c r="H58" s="15" t="n">
        <f aca="false">IF(A58="","",H9-G58)</f>
        <v>639.556937929118</v>
      </c>
      <c r="I58" s="15" t="n">
        <f aca="false">IF(A58="","",IF(A58=E8,0,I57-H58))</f>
        <v>8981.8283308074</v>
      </c>
    </row>
    <row r="59" customFormat="false" ht="15" hidden="false" customHeight="false" outlineLevel="0" collapsed="false">
      <c r="A59" s="16" t="n">
        <f aca="false">IF(A58="","",IF(A58&lt;E8,A58+1,""))</f>
        <v>47</v>
      </c>
      <c r="B59" s="17" t="n">
        <f aca="false">IF(OR(A59="",B7=""),"",EDATE(B7,A59-1))</f>
        <v>47649</v>
      </c>
      <c r="C59" s="15" t="n">
        <f aca="false">IF(A59="","",E59-D59)</f>
        <v>712.768424220962</v>
      </c>
      <c r="D59" s="15" t="n">
        <f aca="false">IF(A59="","",F58*E7/12)</f>
        <v>78.5092799589695</v>
      </c>
      <c r="E59" s="15" t="n">
        <f aca="false">IF(A59="","",E9)</f>
        <v>791.277704179932</v>
      </c>
      <c r="F59" s="15" t="n">
        <f aca="false">IF(A59="","",IF(A59=E8,0,F58-C59))</f>
        <v>9766.77951246017</v>
      </c>
      <c r="G59" s="15" t="n">
        <f aca="false">IF(A59="","",I58*Loans!C7/12)</f>
        <v>3.74242847116975</v>
      </c>
      <c r="H59" s="15" t="n">
        <f aca="false">IF(A59="","",H9-G59)</f>
        <v>639.823419986589</v>
      </c>
      <c r="I59" s="15" t="n">
        <f aca="false">IF(A59="","",IF(A59=E8,0,I58-H59))</f>
        <v>8342.00491082081</v>
      </c>
    </row>
    <row r="60" customFormat="false" ht="15" hidden="false" customHeight="false" outlineLevel="0" collapsed="false">
      <c r="A60" s="16" t="n">
        <f aca="false">IF(A59="","",IF(A59&lt;E8,A59+1,""))</f>
        <v>48</v>
      </c>
      <c r="B60" s="17" t="n">
        <f aca="false">IF(OR(A60="",B7=""),"",EDATE(B7,A60-1))</f>
        <v>47679</v>
      </c>
      <c r="C60" s="15" t="n">
        <f aca="false">IF(A60="","",E60-D60)</f>
        <v>718.108247665751</v>
      </c>
      <c r="D60" s="15" t="n">
        <f aca="false">IF(A60="","",F59*E7/12)</f>
        <v>73.1694565141808</v>
      </c>
      <c r="E60" s="15" t="n">
        <f aca="false">IF(A60="","",E9)</f>
        <v>791.277704179932</v>
      </c>
      <c r="F60" s="15" t="n">
        <f aca="false">IF(A60="","",IF(A60=E8,0,F59-C60))</f>
        <v>9048.67126479442</v>
      </c>
      <c r="G60" s="15" t="n">
        <f aca="false">IF(A60="","",I59*Loans!C7/12)</f>
        <v>3.47583537950867</v>
      </c>
      <c r="H60" s="15" t="n">
        <f aca="false">IF(A60="","",H9-G60)</f>
        <v>640.09001307825</v>
      </c>
      <c r="I60" s="15" t="n">
        <f aca="false">IF(A60="","",IF(A60=E8,0,I59-H60))</f>
        <v>7701.91489774256</v>
      </c>
    </row>
    <row r="61" customFormat="false" ht="15" hidden="false" customHeight="false" outlineLevel="0" collapsed="false">
      <c r="A61" s="16" t="n">
        <f aca="false">IF(A60="","",IF(A60&lt;E8,A60+1,""))</f>
        <v>49</v>
      </c>
      <c r="B61" s="17" t="n">
        <f aca="false">IF(OR(A61="",B7=""),"",EDATE(B7,A61-1))</f>
        <v>47710</v>
      </c>
      <c r="C61" s="15" t="n">
        <f aca="false">IF(A61="","",E61-D61)</f>
        <v>723.488075287847</v>
      </c>
      <c r="D61" s="15" t="n">
        <f aca="false">IF(A61="","",F60*E7/12)</f>
        <v>67.7896288920849</v>
      </c>
      <c r="E61" s="15" t="n">
        <f aca="false">IF(A61="","",E9)</f>
        <v>791.277704179932</v>
      </c>
      <c r="F61" s="15" t="n">
        <f aca="false">IF(A61="","",IF(A61=E8,0,F60-C61))</f>
        <v>8325.18318950657</v>
      </c>
      <c r="G61" s="15" t="n">
        <f aca="false">IF(A61="","",I60*Loans!C7/12)</f>
        <v>3.20913120739273</v>
      </c>
      <c r="H61" s="15" t="n">
        <f aca="false">IF(A61="","",H9-G61)</f>
        <v>640.356717250366</v>
      </c>
      <c r="I61" s="15" t="n">
        <f aca="false">IF(A61="","",IF(A61=E8,0,I60-H61))</f>
        <v>7061.55818049219</v>
      </c>
    </row>
    <row r="62" customFormat="false" ht="15" hidden="false" customHeight="false" outlineLevel="0" collapsed="false">
      <c r="A62" s="16" t="n">
        <f aca="false">IF(A61="","",IF(A61&lt;E8,A61+1,""))</f>
        <v>50</v>
      </c>
      <c r="B62" s="17" t="n">
        <f aca="false">IF(OR(A62="",B7=""),"",EDATE(B7,A62-1))</f>
        <v>47741</v>
      </c>
      <c r="C62" s="15" t="n">
        <f aca="false">IF(A62="","",E62-D62)</f>
        <v>728.908206785212</v>
      </c>
      <c r="D62" s="15" t="n">
        <f aca="false">IF(A62="","",F61*E7/12)</f>
        <v>62.3694973947201</v>
      </c>
      <c r="E62" s="15" t="n">
        <f aca="false">IF(A62="","",E9)</f>
        <v>791.277704179932</v>
      </c>
      <c r="F62" s="15" t="n">
        <f aca="false">IF(A62="","",IF(A62=E8,0,F61-C62))</f>
        <v>7596.27498272136</v>
      </c>
      <c r="G62" s="15" t="n">
        <f aca="false">IF(A62="","",I61*Loans!C7/12)</f>
        <v>2.94231590853841</v>
      </c>
      <c r="H62" s="15" t="n">
        <f aca="false">IF(A62="","",H9-G62)</f>
        <v>640.62353254922</v>
      </c>
      <c r="I62" s="15" t="n">
        <f aca="false">IF(A62="","",IF(A62=E8,0,I61-H62))</f>
        <v>6420.93464794297</v>
      </c>
    </row>
    <row r="63" customFormat="false" ht="15" hidden="false" customHeight="false" outlineLevel="0" collapsed="false">
      <c r="A63" s="16" t="n">
        <f aca="false">IF(A62="","",IF(A62&lt;E8,A62+1,""))</f>
        <v>51</v>
      </c>
      <c r="B63" s="17" t="n">
        <f aca="false">IF(OR(A63="",B7=""),"",EDATE(B7,A63-1))</f>
        <v>47771</v>
      </c>
      <c r="C63" s="15" t="n">
        <f aca="false">IF(A63="","",E63-D63)</f>
        <v>734.368944101044</v>
      </c>
      <c r="D63" s="15" t="n">
        <f aca="false">IF(A63="","",F62*E7/12)</f>
        <v>56.9087600788875</v>
      </c>
      <c r="E63" s="15" t="n">
        <f aca="false">IF(A63="","",E9)</f>
        <v>791.277704179932</v>
      </c>
      <c r="F63" s="15" t="n">
        <f aca="false">IF(A63="","",IF(A63=E8,0,F62-C63))</f>
        <v>6861.90603862032</v>
      </c>
      <c r="G63" s="15" t="n">
        <f aca="false">IF(A63="","",I62*Loans!C7/12)</f>
        <v>2.67538943664291</v>
      </c>
      <c r="H63" s="15" t="n">
        <f aca="false">IF(A63="","",H9-G63)</f>
        <v>640.890459021116</v>
      </c>
      <c r="I63" s="15" t="n">
        <f aca="false">IF(A63="","",IF(A63=E8,0,I62-H63))</f>
        <v>5780.04418892186</v>
      </c>
    </row>
    <row r="64" customFormat="false" ht="15" hidden="false" customHeight="false" outlineLevel="0" collapsed="false">
      <c r="A64" s="16" t="n">
        <f aca="false">IF(A63="","",IF(A63&lt;E8,A63+1,""))</f>
        <v>52</v>
      </c>
      <c r="B64" s="17" t="n">
        <f aca="false">IF(OR(A64="",B7=""),"",EDATE(B7,A64-1))</f>
        <v>47802</v>
      </c>
      <c r="C64" s="15" t="n">
        <f aca="false">IF(A64="","",E64-D64)</f>
        <v>739.870591440601</v>
      </c>
      <c r="D64" s="15" t="n">
        <f aca="false">IF(A64="","",F63*E7/12)</f>
        <v>51.4071127393305</v>
      </c>
      <c r="E64" s="15" t="n">
        <f aca="false">IF(A64="","",E9)</f>
        <v>791.277704179932</v>
      </c>
      <c r="F64" s="15" t="n">
        <f aca="false">IF(A64="","",IF(A64=E8,0,F63-C64))</f>
        <v>6122.03544717971</v>
      </c>
      <c r="G64" s="15" t="n">
        <f aca="false">IF(A64="","",I63*Loans!C7/12)</f>
        <v>2.40835174538411</v>
      </c>
      <c r="H64" s="15" t="n">
        <f aca="false">IF(A64="","",H9-G64)</f>
        <v>641.157496712374</v>
      </c>
      <c r="I64" s="15" t="n">
        <f aca="false">IF(A64="","",IF(A64=E8,0,I63-H64))</f>
        <v>5138.88669220948</v>
      </c>
    </row>
    <row r="65" customFormat="false" ht="15" hidden="false" customHeight="false" outlineLevel="0" collapsed="false">
      <c r="A65" s="16" t="n">
        <f aca="false">IF(A64="","",IF(A64&lt;E8,A64+1,""))</f>
        <v>53</v>
      </c>
      <c r="B65" s="17" t="n">
        <f aca="false">IF(OR(A65="",B7=""),"",EDATE(B7,A65-1))</f>
        <v>47832</v>
      </c>
      <c r="C65" s="15" t="n">
        <f aca="false">IF(A65="","",E65-D65)</f>
        <v>745.413455288144</v>
      </c>
      <c r="D65" s="15" t="n">
        <f aca="false">IF(A65="","",F64*E7/12)</f>
        <v>45.864248891788</v>
      </c>
      <c r="E65" s="15" t="n">
        <f aca="false">IF(A65="","",E9)</f>
        <v>791.277704179932</v>
      </c>
      <c r="F65" s="15" t="n">
        <f aca="false">IF(A65="","",IF(A65=E8,0,F64-C65))</f>
        <v>5376.62199189157</v>
      </c>
      <c r="G65" s="15" t="n">
        <f aca="false">IF(A65="","",I64*Loans!C7/12)</f>
        <v>2.14120278842062</v>
      </c>
      <c r="H65" s="15" t="n">
        <f aca="false">IF(A65="","",H9-G65)</f>
        <v>641.424645669338</v>
      </c>
      <c r="I65" s="15" t="n">
        <f aca="false">IF(A65="","",IF(A65=E8,0,I64-H65))</f>
        <v>4497.46204654015</v>
      </c>
    </row>
    <row r="66" customFormat="false" ht="15" hidden="false" customHeight="false" outlineLevel="0" collapsed="false">
      <c r="A66" s="16" t="n">
        <f aca="false">IF(A65="","",IF(A65&lt;E8,A65+1,""))</f>
        <v>54</v>
      </c>
      <c r="B66" s="17" t="n">
        <f aca="false">IF(OR(A66="",B7=""),"",EDATE(B7,A66-1))</f>
        <v>47863</v>
      </c>
      <c r="C66" s="15" t="n">
        <f aca="false">IF(A66="","",E66-D66)</f>
        <v>750.997844424011</v>
      </c>
      <c r="D66" s="15" t="n">
        <f aca="false">IF(A66="","",F65*E7/12)</f>
        <v>40.279859755921</v>
      </c>
      <c r="E66" s="15" t="n">
        <f aca="false">IF(A66="","",E9)</f>
        <v>791.277704179932</v>
      </c>
      <c r="F66" s="15" t="n">
        <f aca="false">IF(A66="","",IF(A66=E8,0,F65-C66))</f>
        <v>4625.62414746756</v>
      </c>
      <c r="G66" s="15" t="n">
        <f aca="false">IF(A66="","",I65*Loans!C7/12)</f>
        <v>1.87394251939173</v>
      </c>
      <c r="H66" s="15" t="n">
        <f aca="false">IF(A66="","",H9-G66)</f>
        <v>641.691905938367</v>
      </c>
      <c r="I66" s="15" t="n">
        <f aca="false">IF(A66="","",IF(A66=E8,0,I65-H66))</f>
        <v>3855.77014060178</v>
      </c>
    </row>
    <row r="67" customFormat="false" ht="15" hidden="false" customHeight="false" outlineLevel="0" collapsed="false">
      <c r="A67" s="16" t="n">
        <f aca="false">IF(A66="","",IF(A66&lt;E8,A66+1,""))</f>
        <v>55</v>
      </c>
      <c r="B67" s="17" t="n">
        <f aca="false">IF(OR(A67="",B7=""),"",EDATE(B7,A67-1))</f>
        <v>47894</v>
      </c>
      <c r="C67" s="15" t="n">
        <f aca="false">IF(A67="","",E67-D67)</f>
        <v>756.624069941821</v>
      </c>
      <c r="D67" s="15" t="n">
        <f aca="false">IF(A67="","",F66*E7/12)</f>
        <v>34.6536342381111</v>
      </c>
      <c r="E67" s="15" t="n">
        <f aca="false">IF(A67="","",E9)</f>
        <v>791.277704179932</v>
      </c>
      <c r="F67" s="15" t="n">
        <f aca="false">IF(A67="","",IF(A67=E8,0,F66-C67))</f>
        <v>3869.00007752574</v>
      </c>
      <c r="G67" s="15" t="n">
        <f aca="false">IF(A67="","",I66*Loans!C7/12)</f>
        <v>1.60657089191741</v>
      </c>
      <c r="H67" s="15" t="n">
        <f aca="false">IF(A67="","",H9-G67)</f>
        <v>641.959277565841</v>
      </c>
      <c r="I67" s="15" t="n">
        <f aca="false">IF(A67="","",IF(A67=E8,0,I66-H67))</f>
        <v>3213.81086303594</v>
      </c>
    </row>
    <row r="68" customFormat="false" ht="15" hidden="false" customHeight="false" outlineLevel="0" collapsed="false">
      <c r="A68" s="16" t="n">
        <f aca="false">IF(A67="","",IF(A67&lt;E8,A67+1,""))</f>
        <v>56</v>
      </c>
      <c r="B68" s="17" t="n">
        <f aca="false">IF(OR(A68="",B7=""),"",EDATE(B7,A68-1))</f>
        <v>47922</v>
      </c>
      <c r="C68" s="15" t="n">
        <f aca="false">IF(A68="","",E68-D68)</f>
        <v>762.292445265802</v>
      </c>
      <c r="D68" s="15" t="n">
        <f aca="false">IF(A68="","",F67*E7/12)</f>
        <v>28.9852589141303</v>
      </c>
      <c r="E68" s="15" t="n">
        <f aca="false">IF(A68="","",E9)</f>
        <v>791.277704179932</v>
      </c>
      <c r="F68" s="15" t="n">
        <f aca="false">IF(A68="","",IF(A68=E8,0,F67-C68))</f>
        <v>3106.70763225994</v>
      </c>
      <c r="G68" s="15" t="n">
        <f aca="false">IF(A68="","",I67*Loans!C7/12)</f>
        <v>1.33908785959831</v>
      </c>
      <c r="H68" s="15" t="n">
        <f aca="false">IF(A68="","",H9-G68)</f>
        <v>642.22676059816</v>
      </c>
      <c r="I68" s="15" t="n">
        <f aca="false">IF(A68="","",IF(A68=E8,0,I67-H68))</f>
        <v>2571.58410243778</v>
      </c>
    </row>
    <row r="69" customFormat="false" ht="15" hidden="false" customHeight="false" outlineLevel="0" collapsed="false">
      <c r="A69" s="16" t="n">
        <f aca="false">IF(A68="","",IF(A68&lt;E8,A68+1,""))</f>
        <v>57</v>
      </c>
      <c r="B69" s="17" t="n">
        <f aca="false">IF(OR(A69="",B7=""),"",EDATE(B7,A69-1))</f>
        <v>47953</v>
      </c>
      <c r="C69" s="15" t="n">
        <f aca="false">IF(A69="","",E69-D69)</f>
        <v>768.003286168251</v>
      </c>
      <c r="D69" s="15" t="n">
        <f aca="false">IF(A69="","",F68*E7/12)</f>
        <v>23.2744180116807</v>
      </c>
      <c r="E69" s="15" t="n">
        <f aca="false">IF(A69="","",E9)</f>
        <v>791.277704179932</v>
      </c>
      <c r="F69" s="15" t="n">
        <f aca="false">IF(A69="","",IF(A69=E8,0,F68-C69))</f>
        <v>2338.70434609168</v>
      </c>
      <c r="G69" s="15" t="n">
        <f aca="false">IF(A69="","",I68*Loans!C7/12)</f>
        <v>1.07149337601574</v>
      </c>
      <c r="H69" s="15" t="n">
        <f aca="false">IF(A69="","",H9-G69)</f>
        <v>642.494355081743</v>
      </c>
      <c r="I69" s="15" t="n">
        <f aca="false">IF(A69="","",IF(A69=E8,0,I68-H69))</f>
        <v>1929.08974735604</v>
      </c>
    </row>
    <row r="70" customFormat="false" ht="15" hidden="false" customHeight="false" outlineLevel="0" collapsed="false">
      <c r="A70" s="16" t="n">
        <f aca="false">IF(A69="","",IF(A69&lt;E8,A69+1,""))</f>
        <v>58</v>
      </c>
      <c r="B70" s="17" t="n">
        <f aca="false">IF(OR(A70="",B7=""),"",EDATE(B7,A70-1))</f>
        <v>47983</v>
      </c>
      <c r="C70" s="15" t="n">
        <f aca="false">IF(A70="","",E70-D70)</f>
        <v>773.756910787128</v>
      </c>
      <c r="D70" s="15" t="n">
        <f aca="false">IF(A70="","",F69*E7/12)</f>
        <v>17.5207933928035</v>
      </c>
      <c r="E70" s="15" t="n">
        <f aca="false">IF(A70="","",E9)</f>
        <v>791.277704179932</v>
      </c>
      <c r="F70" s="15" t="n">
        <f aca="false">IF(A70="","",IF(A70=E8,0,F69-C70))</f>
        <v>1564.94743530456</v>
      </c>
      <c r="G70" s="15" t="n">
        <f aca="false">IF(A70="","",I69*Loans!C7/12)</f>
        <v>0.803787394731681</v>
      </c>
      <c r="H70" s="15" t="n">
        <f aca="false">IF(A70="","",H9-G70)</f>
        <v>642.762061063027</v>
      </c>
      <c r="I70" s="15" t="n">
        <f aca="false">IF(A70="","",IF(A70=E8,0,I69-H70))</f>
        <v>1286.32768629301</v>
      </c>
    </row>
    <row r="71" customFormat="false" ht="15" hidden="false" customHeight="false" outlineLevel="0" collapsed="false">
      <c r="A71" s="16" t="n">
        <f aca="false">IF(A70="","",IF(A70&lt;E8,A70+1,""))</f>
        <v>59</v>
      </c>
      <c r="B71" s="17" t="n">
        <f aca="false">IF(OR(A71="",B7=""),"",EDATE(B7,A71-1))</f>
        <v>48014</v>
      </c>
      <c r="C71" s="15" t="n">
        <f aca="false">IF(A71="","",E71-D71)</f>
        <v>779.553639643775</v>
      </c>
      <c r="D71" s="15" t="n">
        <f aca="false">IF(A71="","",F70*E7/12)</f>
        <v>11.7240645361566</v>
      </c>
      <c r="E71" s="15" t="n">
        <f aca="false">IF(A71="","",E9)</f>
        <v>791.277704179932</v>
      </c>
      <c r="F71" s="15" t="n">
        <f aca="false">IF(A71="","",IF(A71=E8,0,F70-C71))</f>
        <v>785.393795660781</v>
      </c>
      <c r="G71" s="15" t="n">
        <f aca="false">IF(A71="","",I70*Loans!C7/12)</f>
        <v>0.535969869288754</v>
      </c>
      <c r="H71" s="15" t="n">
        <f aca="false">IF(A71="","",H9-G71)</f>
        <v>643.02987858847</v>
      </c>
      <c r="I71" s="15" t="n">
        <f aca="false">IF(A71="","",IF(A71=E8,0,I70-H71))</f>
        <v>643.297807704539</v>
      </c>
    </row>
    <row r="72" customFormat="false" ht="15" hidden="false" customHeight="false" outlineLevel="0" collapsed="false">
      <c r="A72" s="16" t="n">
        <f aca="false">IF(A71="","",IF(A71&lt;E8,A71+1,""))</f>
        <v>60</v>
      </c>
      <c r="B72" s="17" t="n">
        <f aca="false">IF(OR(A72="",B7=""),"",EDATE(B7,A72-1))</f>
        <v>48044</v>
      </c>
      <c r="C72" s="15" t="n">
        <f aca="false">IF(A72="","",E72-D72)</f>
        <v>785.393795660773</v>
      </c>
      <c r="D72" s="15" t="n">
        <f aca="false">IF(A72="","",F71*E7/12)</f>
        <v>5.88390851915868</v>
      </c>
      <c r="E72" s="15" t="n">
        <f aca="false">IF(A72="","",E9)</f>
        <v>791.277704179932</v>
      </c>
      <c r="F72" s="15" t="n">
        <f aca="false">IF(A72="","",IF(A72=E8,0,F71-C72))</f>
        <v>0</v>
      </c>
      <c r="G72" s="15" t="n">
        <f aca="false">IF(A72="","",I71*Loans!C7/12)</f>
        <v>0.268040753210224</v>
      </c>
      <c r="H72" s="15" t="n">
        <f aca="false">IF(A72="","",H9-G72)</f>
        <v>643.297807704548</v>
      </c>
      <c r="I72" s="15" t="n">
        <f aca="false">IF(A72="","",IF(A72=E8,0,I71-H72))</f>
        <v>0</v>
      </c>
    </row>
  </sheetData>
  <mergeCells count="8">
    <mergeCell ref="F3:H3"/>
    <mergeCell ref="F4:G4"/>
    <mergeCell ref="F5:G5"/>
    <mergeCell ref="F6:G6"/>
    <mergeCell ref="F7:G7"/>
    <mergeCell ref="F8:G8"/>
    <mergeCell ref="F9:G9"/>
    <mergeCell ref="F10:G10"/>
  </mergeCells>
  <dataValidations count="1">
    <dataValidation allowBlank="false" errorStyle="stop" operator="between" showDropDown="false" showErrorMessage="false" showInputMessage="false" sqref="B3" type="list">
      <formula1>Loans!A12:A61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1" topLeftCell="I12" activePane="bottomRight" state="frozen"/>
      <selection pane="topLeft" activeCell="A1" activeCellId="0" sqref="A1"/>
      <selection pane="topRight" activeCell="I1" activeCellId="0" sqref="I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7" min="5" style="0" width="14"/>
    <col collapsed="false" customWidth="true" hidden="false" outlineLevel="0" max="8" min="8" style="0" width="13"/>
    <col collapsed="false" customWidth="true" hidden="false" outlineLevel="0" max="68" min="9" style="0" width="10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A3" s="2" t="s">
        <v>68</v>
      </c>
    </row>
    <row r="10" customFormat="false" ht="15" hidden="false" customHeight="false" outlineLevel="0" collapsed="false">
      <c r="A10" s="28" t="s">
        <v>69</v>
      </c>
    </row>
    <row r="11" customFormat="false" ht="42" hidden="false" customHeight="true" outlineLevel="0" collapsed="false">
      <c r="A11" s="10" t="s">
        <v>13</v>
      </c>
      <c r="B11" s="10" t="s">
        <v>70</v>
      </c>
      <c r="C11" s="10" t="s">
        <v>15</v>
      </c>
      <c r="D11" s="10" t="s">
        <v>21</v>
      </c>
      <c r="E11" s="10" t="s">
        <v>50</v>
      </c>
      <c r="F11" s="10" t="s">
        <v>18</v>
      </c>
      <c r="G11" s="10" t="s">
        <v>71</v>
      </c>
      <c r="H11" s="10" t="s">
        <v>72</v>
      </c>
      <c r="I11" s="10" t="n">
        <v>1</v>
      </c>
      <c r="J11" s="10" t="n">
        <v>2</v>
      </c>
      <c r="K11" s="10" t="n">
        <v>3</v>
      </c>
      <c r="L11" s="10" t="n">
        <v>4</v>
      </c>
      <c r="M11" s="10" t="n">
        <v>5</v>
      </c>
      <c r="N11" s="10" t="n">
        <v>6</v>
      </c>
      <c r="O11" s="10" t="n">
        <v>7</v>
      </c>
      <c r="P11" s="10" t="n">
        <v>8</v>
      </c>
      <c r="Q11" s="10" t="n">
        <v>9</v>
      </c>
      <c r="R11" s="10" t="n">
        <v>10</v>
      </c>
      <c r="S11" s="10" t="n">
        <v>11</v>
      </c>
      <c r="T11" s="10" t="n">
        <v>12</v>
      </c>
      <c r="U11" s="10" t="n">
        <v>13</v>
      </c>
      <c r="V11" s="10" t="n">
        <v>14</v>
      </c>
      <c r="W11" s="10" t="n">
        <v>15</v>
      </c>
      <c r="X11" s="10" t="n">
        <v>16</v>
      </c>
      <c r="Y11" s="10" t="n">
        <v>17</v>
      </c>
      <c r="Z11" s="10" t="n">
        <v>18</v>
      </c>
      <c r="AA11" s="10" t="n">
        <v>19</v>
      </c>
      <c r="AB11" s="10" t="n">
        <v>20</v>
      </c>
      <c r="AC11" s="10" t="n">
        <v>21</v>
      </c>
      <c r="AD11" s="10" t="n">
        <v>22</v>
      </c>
      <c r="AE11" s="10" t="n">
        <v>23</v>
      </c>
      <c r="AF11" s="10" t="n">
        <v>24</v>
      </c>
      <c r="AG11" s="10" t="n">
        <v>25</v>
      </c>
      <c r="AH11" s="10" t="n">
        <v>26</v>
      </c>
      <c r="AI11" s="10" t="n">
        <v>27</v>
      </c>
      <c r="AJ11" s="10" t="n">
        <v>28</v>
      </c>
      <c r="AK11" s="10" t="n">
        <v>29</v>
      </c>
      <c r="AL11" s="10" t="n">
        <v>30</v>
      </c>
      <c r="AM11" s="10" t="n">
        <v>31</v>
      </c>
      <c r="AN11" s="10" t="n">
        <v>32</v>
      </c>
      <c r="AO11" s="10" t="n">
        <v>33</v>
      </c>
      <c r="AP11" s="10" t="n">
        <v>34</v>
      </c>
      <c r="AQ11" s="10" t="n">
        <v>35</v>
      </c>
      <c r="AR11" s="10" t="n">
        <v>36</v>
      </c>
      <c r="AS11" s="10" t="n">
        <v>37</v>
      </c>
      <c r="AT11" s="10" t="n">
        <v>38</v>
      </c>
      <c r="AU11" s="10" t="n">
        <v>39</v>
      </c>
      <c r="AV11" s="10" t="n">
        <v>40</v>
      </c>
      <c r="AW11" s="10" t="n">
        <v>41</v>
      </c>
      <c r="AX11" s="10" t="n">
        <v>42</v>
      </c>
      <c r="AY11" s="10" t="n">
        <v>43</v>
      </c>
      <c r="AZ11" s="10" t="n">
        <v>44</v>
      </c>
      <c r="BA11" s="10" t="n">
        <v>45</v>
      </c>
      <c r="BB11" s="10" t="n">
        <v>46</v>
      </c>
      <c r="BC11" s="10" t="n">
        <v>47</v>
      </c>
      <c r="BD11" s="10" t="n">
        <v>48</v>
      </c>
      <c r="BE11" s="10" t="n">
        <v>49</v>
      </c>
      <c r="BF11" s="10" t="n">
        <v>50</v>
      </c>
      <c r="BG11" s="10" t="n">
        <v>51</v>
      </c>
      <c r="BH11" s="10" t="n">
        <v>52</v>
      </c>
      <c r="BI11" s="10" t="n">
        <v>53</v>
      </c>
      <c r="BJ11" s="10" t="n">
        <v>54</v>
      </c>
      <c r="BK11" s="10" t="n">
        <v>55</v>
      </c>
      <c r="BL11" s="10" t="n">
        <v>56</v>
      </c>
      <c r="BM11" s="10" t="n">
        <v>57</v>
      </c>
      <c r="BN11" s="10" t="n">
        <v>58</v>
      </c>
      <c r="BO11" s="10" t="n">
        <v>59</v>
      </c>
      <c r="BP11" s="10" t="n">
        <v>60</v>
      </c>
    </row>
    <row r="12" customFormat="false" ht="15" hidden="false" customHeight="false" outlineLevel="0" collapsed="false">
      <c r="A12" s="29" t="n">
        <f aca="false">IF(Loans!A12="","",Loans!A12)</f>
        <v>1</v>
      </c>
      <c r="B12" s="29" t="str">
        <f aca="false">IF(Loans!B12="","",Loans!B12)</f>
        <v>SAMPLE Client A (replace)</v>
      </c>
      <c r="C12" s="29" t="str">
        <f aca="false">IF(Loans!C12="","",Loans!C12)</f>
        <v>Closed</v>
      </c>
      <c r="D12" s="16" t="n">
        <f aca="false">IF(Loans!I12="","",Loans!I12)</f>
        <v>60</v>
      </c>
      <c r="E12" s="17" t="n">
        <f aca="false">IF(Loans!E12="","",Loans!E12)</f>
        <v>46249</v>
      </c>
      <c r="F12" s="15" t="n">
        <f aca="false">IF(Loans!F12="","",Loans!F12)</f>
        <v>38127.43</v>
      </c>
      <c r="G12" s="15" t="n">
        <f aca="false">IF(OR(C12&lt;&gt;"Closed",D12="",F12=""),"",PMT(Loans!C7/12,D12,-F12))</f>
        <v>643.565848457758</v>
      </c>
      <c r="H12" s="15" t="n">
        <f aca="false">IF(C12&lt;&gt;"Closed","",SUM(I12:BP12))</f>
        <v>486.520907465497</v>
      </c>
      <c r="I12" s="15" t="n">
        <f aca="false">IF(OR(C12&lt;&gt;"Closed",D12="",F12=""),"",IF(I11&gt;D12,"",F12*Loans!C7/12))</f>
        <v>15.8864291666667</v>
      </c>
      <c r="J12" s="15" t="n">
        <f aca="false">IF(OR(C12&lt;&gt;"Closed",D12="",F12=""),"",IF(J11&gt;D12,"",I72*Loans!C7/12))</f>
        <v>15.6248960752954</v>
      </c>
      <c r="K12" s="15" t="n">
        <f aca="false">IF(OR(C12&lt;&gt;"Closed",D12="",F12=""),"",IF(K11&gt;D12,"",J72*Loans!C7/12))</f>
        <v>15.3632540118027</v>
      </c>
      <c r="L12" s="15" t="n">
        <f aca="false">IF(OR(C12&lt;&gt;"Closed",D12="",F12=""),"",IF(L11&gt;D12,"",K72*Loans!C7/12))</f>
        <v>15.1015029307835</v>
      </c>
      <c r="M12" s="15" t="n">
        <f aca="false">IF(OR(C12&lt;&gt;"Closed",D12="",F12=""),"",IF(M11&gt;D12,"",L72*Loans!C7/12))</f>
        <v>14.839642786814</v>
      </c>
      <c r="N12" s="15" t="n">
        <f aca="false">IF(OR(C12&lt;&gt;"Closed",D12="",F12=""),"",IF(N11&gt;D12,"",M72*Loans!C7/12))</f>
        <v>14.5776735344511</v>
      </c>
      <c r="O12" s="15" t="n">
        <f aca="false">IF(OR(C12&lt;&gt;"Closed",D12="",F12=""),"",IF(O11&gt;D12,"",N72*Loans!C7/12))</f>
        <v>14.315595128233</v>
      </c>
      <c r="P12" s="15" t="n">
        <f aca="false">IF(OR(C12&lt;&gt;"Closed",D12="",F12=""),"",IF(P11&gt;D12,"",O72*Loans!C7/12))</f>
        <v>14.0534075226791</v>
      </c>
      <c r="Q12" s="15" t="n">
        <f aca="false">IF(OR(C12&lt;&gt;"Closed",D12="",F12=""),"",IF(Q11&gt;D12,"",P72*Loans!C7/12))</f>
        <v>13.7911106722894</v>
      </c>
      <c r="R12" s="15" t="n">
        <f aca="false">IF(OR(C12&lt;&gt;"Closed",D12="",F12=""),"",IF(R11&gt;D12,"",Q72*Loans!C7/12))</f>
        <v>13.5287045315455</v>
      </c>
      <c r="S12" s="15" t="n">
        <f aca="false">IF(OR(C12&lt;&gt;"Closed",D12="",F12=""),"",IF(S11&gt;D12,"",R72*Loans!C7/12))</f>
        <v>13.2661890549096</v>
      </c>
      <c r="T12" s="15" t="n">
        <f aca="false">IF(OR(C12&lt;&gt;"Closed",D12="",F12=""),"",IF(T11&gt;D12,"",S72*Loans!C7/12))</f>
        <v>13.0035641968251</v>
      </c>
      <c r="U12" s="15" t="n">
        <f aca="false">IF(OR(C12&lt;&gt;"Closed",D12="",F12=""),"",IF(U11&gt;D12,"",T72*Loans!C7/12))</f>
        <v>12.7408299117163</v>
      </c>
      <c r="V12" s="15" t="n">
        <f aca="false">IF(OR(C12&lt;&gt;"Closed",D12="",F12=""),"",IF(V11&gt;D12,"",U72*Loans!C7/12))</f>
        <v>12.4779861539888</v>
      </c>
      <c r="W12" s="15" t="n">
        <f aca="false">IF(OR(C12&lt;&gt;"Closed",D12="",F12=""),"",IF(W11&gt;D12,"",V72*Loans!C7/12))</f>
        <v>12.2150328780289</v>
      </c>
      <c r="X12" s="15" t="n">
        <f aca="false">IF(OR(C12&lt;&gt;"Closed",D12="",F12=""),"",IF(X11&gt;D12,"",W72*Loans!C7/12))</f>
        <v>11.951970038204</v>
      </c>
      <c r="Y12" s="15" t="n">
        <f aca="false">IF(OR(C12&lt;&gt;"Closed",D12="",F12=""),"",IF(Y11&gt;D12,"",X72*Loans!C7/12))</f>
        <v>11.6887975888625</v>
      </c>
      <c r="Z12" s="15" t="n">
        <f aca="false">IF(OR(C12&lt;&gt;"Closed",D12="",F12=""),"",IF(Z11&gt;D12,"",Y72*Loans!C7/12))</f>
        <v>11.4255154843338</v>
      </c>
      <c r="AA12" s="15" t="n">
        <f aca="false">IF(OR(C12&lt;&gt;"Closed",D12="",F12=""),"",IF(AA11&gt;D12,"",Z72*Loans!C7/12))</f>
        <v>11.1621236789282</v>
      </c>
      <c r="AB12" s="15" t="n">
        <f aca="false">IF(OR(C12&lt;&gt;"Closed",D12="",F12=""),"",IF(AB11&gt;D12,"",AA72*Loans!C7/12))</f>
        <v>10.8986221269371</v>
      </c>
      <c r="AC12" s="15" t="n">
        <f aca="false">IF(OR(C12&lt;&gt;"Closed",D12="",F12=""),"",IF(AC11&gt;D12,"",AB72*Loans!C7/12))</f>
        <v>10.6350107826326</v>
      </c>
      <c r="AD12" s="15" t="n">
        <f aca="false">IF(OR(C12&lt;&gt;"Closed",D12="",F12=""),"",IF(AD11&gt;D12,"",AC72*Loans!C7/12))</f>
        <v>10.3712896002679</v>
      </c>
      <c r="AE12" s="15" t="n">
        <f aca="false">IF(OR(C12&lt;&gt;"Closed",D12="",F12=""),"",IF(AE11&gt;D12,"",AD72*Loans!C7/12))</f>
        <v>10.1074585340773</v>
      </c>
      <c r="AF12" s="15" t="n">
        <f aca="false">IF(OR(C12&lt;&gt;"Closed",D12="",F12=""),"",IF(AF11&gt;D12,"",AE72*Loans!C7/12))</f>
        <v>9.84351753827576</v>
      </c>
      <c r="AG12" s="15" t="n">
        <f aca="false">IF(OR(C12&lt;&gt;"Closed",D12="",F12=""),"",IF(AG11&gt;D12,"",AF72*Loans!C7/12))</f>
        <v>9.57946656705931</v>
      </c>
      <c r="AH12" s="15" t="n">
        <f aca="false">IF(OR(C12&lt;&gt;"Closed",D12="",F12=""),"",IF(AH11&gt;D12,"",AG72*Loans!C7/12))</f>
        <v>9.31530557460486</v>
      </c>
      <c r="AI12" s="15" t="n">
        <f aca="false">IF(OR(C12&lt;&gt;"Closed",D12="",F12=""),"",IF(AI11&gt;D12,"",AH72*Loans!C7/12))</f>
        <v>9.05103451507021</v>
      </c>
      <c r="AJ12" s="15" t="n">
        <f aca="false">IF(OR(C12&lt;&gt;"Closed",D12="",F12=""),"",IF(AJ11&gt;D12,"",AI72*Loans!C7/12))</f>
        <v>8.78665334259409</v>
      </c>
      <c r="AK12" s="15" t="n">
        <f aca="false">IF(OR(C12&lt;&gt;"Closed",D12="",F12=""),"",IF(AK11&gt;D12,"",AJ72*Loans!C7/12))</f>
        <v>8.5221620112961</v>
      </c>
      <c r="AL12" s="15" t="n">
        <f aca="false">IF(OR(C12&lt;&gt;"Closed",D12="",F12=""),"",IF(AL11&gt;D12,"",AK72*Loans!C7/12))</f>
        <v>8.25756047527674</v>
      </c>
      <c r="AM12" s="15" t="n">
        <f aca="false">IF(OR(C12&lt;&gt;"Closed",D12="",F12=""),"",IF(AM11&gt;D12,"",AL72*Loans!C7/12))</f>
        <v>7.99284868861738</v>
      </c>
      <c r="AN12" s="15" t="n">
        <f aca="false">IF(OR(C12&lt;&gt;"Closed",D12="",F12=""),"",IF(AN11&gt;D12,"",AM72*Loans!C7/12))</f>
        <v>7.72802660538023</v>
      </c>
      <c r="AO12" s="15" t="n">
        <f aca="false">IF(OR(C12&lt;&gt;"Closed",D12="",F12=""),"",IF(AO11&gt;D12,"",AN72*Loans!C7/12))</f>
        <v>7.46309417960841</v>
      </c>
      <c r="AP12" s="15" t="n">
        <f aca="false">IF(OR(C12&lt;&gt;"Closed",D12="",F12=""),"",IF(AP11&gt;D12,"",AO72*Loans!C7/12))</f>
        <v>7.19805136532585</v>
      </c>
      <c r="AQ12" s="15" t="n">
        <f aca="false">IF(OR(C12&lt;&gt;"Closed",D12="",F12=""),"",IF(AQ11&gt;D12,"",AP72*Loans!C7/12))</f>
        <v>6.93289811653733</v>
      </c>
      <c r="AR12" s="15" t="n">
        <f aca="false">IF(OR(C12&lt;&gt;"Closed",D12="",F12=""),"",IF(AR11&gt;D12,"",AQ72*Loans!C7/12))</f>
        <v>6.66763438722849</v>
      </c>
      <c r="AS12" s="15" t="n">
        <f aca="false">IF(OR(C12&lt;&gt;"Closed",D12="",F12=""),"",IF(AS11&gt;D12,"",AR72*Loans!C7/12))</f>
        <v>6.40226013136577</v>
      </c>
      <c r="AT12" s="15" t="n">
        <f aca="false">IF(OR(C12&lt;&gt;"Closed",D12="",F12=""),"",IF(AT11&gt;D12,"",AS72*Loans!C7/12))</f>
        <v>6.13677530289644</v>
      </c>
      <c r="AU12" s="15" t="n">
        <f aca="false">IF(OR(C12&lt;&gt;"Closed",D12="",F12=""),"",IF(AU11&gt;D12,"",AT72*Loans!C7/12))</f>
        <v>5.87117985574858</v>
      </c>
      <c r="AV12" s="15" t="n">
        <f aca="false">IF(OR(C12&lt;&gt;"Closed",D12="",F12=""),"",IF(AV11&gt;D12,"",AU72*Loans!C7/12))</f>
        <v>5.60547374383108</v>
      </c>
      <c r="AW12" s="15" t="n">
        <f aca="false">IF(OR(C12&lt;&gt;"Closed",D12="",F12=""),"",IF(AW11&gt;D12,"",AV72*Loans!C7/12))</f>
        <v>5.33965692103361</v>
      </c>
      <c r="AX12" s="15" t="n">
        <f aca="false">IF(OR(C12&lt;&gt;"Closed",D12="",F12=""),"",IF(AX11&gt;D12,"",AW72*Loans!C7/12))</f>
        <v>5.07372934122664</v>
      </c>
      <c r="AY12" s="15" t="n">
        <f aca="false">IF(OR(C12&lt;&gt;"Closed",D12="",F12=""),"",IF(AY11&gt;D12,"",AX72*Loans!C7/12))</f>
        <v>4.80769095826141</v>
      </c>
      <c r="AZ12" s="15" t="n">
        <f aca="false">IF(OR(C12&lt;&gt;"Closed",D12="",F12=""),"",IF(AZ11&gt;D12,"",AY72*Loans!C7/12))</f>
        <v>4.54154172596996</v>
      </c>
      <c r="BA12" s="15" t="n">
        <f aca="false">IF(OR(C12&lt;&gt;"Closed",D12="",F12=""),"",IF(BA11&gt;D12,"",AZ72*Loans!C7/12))</f>
        <v>4.27528159816505</v>
      </c>
      <c r="BB12" s="15" t="n">
        <f aca="false">IF(OR(C12&lt;&gt;"Closed",D12="",F12=""),"",IF(BB11&gt;D12,"",BA72*Loans!C7/12))</f>
        <v>4.00891052864022</v>
      </c>
      <c r="BC12" s="15" t="n">
        <f aca="false">IF(OR(C12&lt;&gt;"Closed",D12="",F12=""),"",IF(BC11&gt;D12,"",BB72*Loans!C7/12))</f>
        <v>3.74242847116975</v>
      </c>
      <c r="BD12" s="15" t="n">
        <f aca="false">IF(OR(C12&lt;&gt;"Closed",D12="",F12=""),"",IF(BD11&gt;D12,"",BC72*Loans!C7/12))</f>
        <v>3.47583537950867</v>
      </c>
      <c r="BE12" s="15" t="n">
        <f aca="false">IF(OR(C12&lt;&gt;"Closed",D12="",F12=""),"",IF(BE11&gt;D12,"",BD72*Loans!C7/12))</f>
        <v>3.20913120739273</v>
      </c>
      <c r="BF12" s="15" t="n">
        <f aca="false">IF(OR(C12&lt;&gt;"Closed",D12="",F12=""),"",IF(BF11&gt;D12,"",BE72*Loans!C7/12))</f>
        <v>2.94231590853841</v>
      </c>
      <c r="BG12" s="15" t="n">
        <f aca="false">IF(OR(C12&lt;&gt;"Closed",D12="",F12=""),"",IF(BG11&gt;D12,"",BF72*Loans!C7/12))</f>
        <v>2.67538943664291</v>
      </c>
      <c r="BH12" s="15" t="n">
        <f aca="false">IF(OR(C12&lt;&gt;"Closed",D12="",F12=""),"",IF(BH11&gt;D12,"",BG72*Loans!C7/12))</f>
        <v>2.40835174538411</v>
      </c>
      <c r="BI12" s="15" t="n">
        <f aca="false">IF(OR(C12&lt;&gt;"Closed",D12="",F12=""),"",IF(BI11&gt;D12,"",BH72*Loans!C7/12))</f>
        <v>2.14120278842062</v>
      </c>
      <c r="BJ12" s="15" t="n">
        <f aca="false">IF(OR(C12&lt;&gt;"Closed",D12="",F12=""),"",IF(BJ11&gt;D12,"",BI72*Loans!C7/12))</f>
        <v>1.87394251939173</v>
      </c>
      <c r="BK12" s="15" t="n">
        <f aca="false">IF(OR(C12&lt;&gt;"Closed",D12="",F12=""),"",IF(BK11&gt;D12,"",BJ72*Loans!C7/12))</f>
        <v>1.60657089191741</v>
      </c>
      <c r="BL12" s="15" t="n">
        <f aca="false">IF(OR(C12&lt;&gt;"Closed",D12="",F12=""),"",IF(BL11&gt;D12,"",BK72*Loans!C7/12))</f>
        <v>1.33908785959831</v>
      </c>
      <c r="BM12" s="15" t="n">
        <f aca="false">IF(OR(C12&lt;&gt;"Closed",D12="",F12=""),"",IF(BM11&gt;D12,"",BL72*Loans!C7/12))</f>
        <v>1.07149337601574</v>
      </c>
      <c r="BN12" s="15" t="n">
        <f aca="false">IF(OR(C12&lt;&gt;"Closed",D12="",F12=""),"",IF(BN11&gt;D12,"",BM72*Loans!C7/12))</f>
        <v>0.803787394731681</v>
      </c>
      <c r="BO12" s="15" t="n">
        <f aca="false">IF(OR(C12&lt;&gt;"Closed",D12="",F12=""),"",IF(BO11&gt;D12,"",BN72*Loans!C7/12))</f>
        <v>0.535969869288754</v>
      </c>
      <c r="BP12" s="15" t="n">
        <f aca="false">IF(OR(C12&lt;&gt;"Closed",D12="",F12=""),"",IF(BP11&gt;D12,"",BO72*Loans!C7/12))</f>
        <v>0.268040753210224</v>
      </c>
    </row>
    <row r="13" customFormat="false" ht="15" hidden="false" customHeight="false" outlineLevel="0" collapsed="false">
      <c r="A13" s="29" t="n">
        <f aca="false">IF(Loans!A13="","",Loans!A13)</f>
        <v>2</v>
      </c>
      <c r="B13" s="29" t="str">
        <f aca="false">IF(Loans!B13="","",Loans!B13)</f>
        <v>SAMPLE Client B (replace)</v>
      </c>
      <c r="C13" s="29" t="str">
        <f aca="false">IF(Loans!C13="","",Loans!C13)</f>
        <v>Pipeline</v>
      </c>
      <c r="D13" s="16" t="n">
        <f aca="false">IF(Loans!I13="","",Loans!I13)</f>
        <v>60</v>
      </c>
      <c r="E13" s="17" t="n">
        <f aca="false">IF(Loans!E13="","",Loans!E13)</f>
        <v>46371</v>
      </c>
      <c r="F13" s="15" t="n">
        <f aca="false">IF(Loans!F13="","",Loans!F13)</f>
        <v>58000</v>
      </c>
      <c r="G13" s="15" t="str">
        <f aca="false">IF(OR(C13&lt;&gt;"Closed",D13="",F13=""),"",PMT(Loans!C7/12,D13,-F13))</f>
        <v/>
      </c>
      <c r="H13" s="15" t="str">
        <f aca="false">IF(C13&lt;&gt;"Closed","",SUM(I13:BP13))</f>
        <v/>
      </c>
      <c r="I13" s="15" t="str">
        <f aca="false">IF(OR(C13&lt;&gt;"Closed",D13="",F13=""),"",IF(I11&gt;D13,"",F13*Loans!C7/12))</f>
        <v/>
      </c>
      <c r="J13" s="15" t="str">
        <f aca="false">IF(OR(C13&lt;&gt;"Closed",D13="",F13=""),"",IF(J11&gt;D13,"",I73*Loans!C7/12))</f>
        <v/>
      </c>
      <c r="K13" s="15" t="str">
        <f aca="false">IF(OR(C13&lt;&gt;"Closed",D13="",F13=""),"",IF(K11&gt;D13,"",J73*Loans!C7/12))</f>
        <v/>
      </c>
      <c r="L13" s="15" t="str">
        <f aca="false">IF(OR(C13&lt;&gt;"Closed",D13="",F13=""),"",IF(L11&gt;D13,"",K73*Loans!C7/12))</f>
        <v/>
      </c>
      <c r="M13" s="15" t="str">
        <f aca="false">IF(OR(C13&lt;&gt;"Closed",D13="",F13=""),"",IF(M11&gt;D13,"",L73*Loans!C7/12))</f>
        <v/>
      </c>
      <c r="N13" s="15" t="str">
        <f aca="false">IF(OR(C13&lt;&gt;"Closed",D13="",F13=""),"",IF(N11&gt;D13,"",M73*Loans!C7/12))</f>
        <v/>
      </c>
      <c r="O13" s="15" t="str">
        <f aca="false">IF(OR(C13&lt;&gt;"Closed",D13="",F13=""),"",IF(O11&gt;D13,"",N73*Loans!C7/12))</f>
        <v/>
      </c>
      <c r="P13" s="15" t="str">
        <f aca="false">IF(OR(C13&lt;&gt;"Closed",D13="",F13=""),"",IF(P11&gt;D13,"",O73*Loans!C7/12))</f>
        <v/>
      </c>
      <c r="Q13" s="15" t="str">
        <f aca="false">IF(OR(C13&lt;&gt;"Closed",D13="",F13=""),"",IF(Q11&gt;D13,"",P73*Loans!C7/12))</f>
        <v/>
      </c>
      <c r="R13" s="15" t="str">
        <f aca="false">IF(OR(C13&lt;&gt;"Closed",D13="",F13=""),"",IF(R11&gt;D13,"",Q73*Loans!C7/12))</f>
        <v/>
      </c>
      <c r="S13" s="15" t="str">
        <f aca="false">IF(OR(C13&lt;&gt;"Closed",D13="",F13=""),"",IF(S11&gt;D13,"",R73*Loans!C7/12))</f>
        <v/>
      </c>
      <c r="T13" s="15" t="str">
        <f aca="false">IF(OR(C13&lt;&gt;"Closed",D13="",F13=""),"",IF(T11&gt;D13,"",S73*Loans!C7/12))</f>
        <v/>
      </c>
      <c r="U13" s="15" t="str">
        <f aca="false">IF(OR(C13&lt;&gt;"Closed",D13="",F13=""),"",IF(U11&gt;D13,"",T73*Loans!C7/12))</f>
        <v/>
      </c>
      <c r="V13" s="15" t="str">
        <f aca="false">IF(OR(C13&lt;&gt;"Closed",D13="",F13=""),"",IF(V11&gt;D13,"",U73*Loans!C7/12))</f>
        <v/>
      </c>
      <c r="W13" s="15" t="str">
        <f aca="false">IF(OR(C13&lt;&gt;"Closed",D13="",F13=""),"",IF(W11&gt;D13,"",V73*Loans!C7/12))</f>
        <v/>
      </c>
      <c r="X13" s="15" t="str">
        <f aca="false">IF(OR(C13&lt;&gt;"Closed",D13="",F13=""),"",IF(X11&gt;D13,"",W73*Loans!C7/12))</f>
        <v/>
      </c>
      <c r="Y13" s="15" t="str">
        <f aca="false">IF(OR(C13&lt;&gt;"Closed",D13="",F13=""),"",IF(Y11&gt;D13,"",X73*Loans!C7/12))</f>
        <v/>
      </c>
      <c r="Z13" s="15" t="str">
        <f aca="false">IF(OR(C13&lt;&gt;"Closed",D13="",F13=""),"",IF(Z11&gt;D13,"",Y73*Loans!C7/12))</f>
        <v/>
      </c>
      <c r="AA13" s="15" t="str">
        <f aca="false">IF(OR(C13&lt;&gt;"Closed",D13="",F13=""),"",IF(AA11&gt;D13,"",Z73*Loans!C7/12))</f>
        <v/>
      </c>
      <c r="AB13" s="15" t="str">
        <f aca="false">IF(OR(C13&lt;&gt;"Closed",D13="",F13=""),"",IF(AB11&gt;D13,"",AA73*Loans!C7/12))</f>
        <v/>
      </c>
      <c r="AC13" s="15" t="str">
        <f aca="false">IF(OR(C13&lt;&gt;"Closed",D13="",F13=""),"",IF(AC11&gt;D13,"",AB73*Loans!C7/12))</f>
        <v/>
      </c>
      <c r="AD13" s="15" t="str">
        <f aca="false">IF(OR(C13&lt;&gt;"Closed",D13="",F13=""),"",IF(AD11&gt;D13,"",AC73*Loans!C7/12))</f>
        <v/>
      </c>
      <c r="AE13" s="15" t="str">
        <f aca="false">IF(OR(C13&lt;&gt;"Closed",D13="",F13=""),"",IF(AE11&gt;D13,"",AD73*Loans!C7/12))</f>
        <v/>
      </c>
      <c r="AF13" s="15" t="str">
        <f aca="false">IF(OR(C13&lt;&gt;"Closed",D13="",F13=""),"",IF(AF11&gt;D13,"",AE73*Loans!C7/12))</f>
        <v/>
      </c>
      <c r="AG13" s="15" t="str">
        <f aca="false">IF(OR(C13&lt;&gt;"Closed",D13="",F13=""),"",IF(AG11&gt;D13,"",AF73*Loans!C7/12))</f>
        <v/>
      </c>
      <c r="AH13" s="15" t="str">
        <f aca="false">IF(OR(C13&lt;&gt;"Closed",D13="",F13=""),"",IF(AH11&gt;D13,"",AG73*Loans!C7/12))</f>
        <v/>
      </c>
      <c r="AI13" s="15" t="str">
        <f aca="false">IF(OR(C13&lt;&gt;"Closed",D13="",F13=""),"",IF(AI11&gt;D13,"",AH73*Loans!C7/12))</f>
        <v/>
      </c>
      <c r="AJ13" s="15" t="str">
        <f aca="false">IF(OR(C13&lt;&gt;"Closed",D13="",F13=""),"",IF(AJ11&gt;D13,"",AI73*Loans!C7/12))</f>
        <v/>
      </c>
      <c r="AK13" s="15" t="str">
        <f aca="false">IF(OR(C13&lt;&gt;"Closed",D13="",F13=""),"",IF(AK11&gt;D13,"",AJ73*Loans!C7/12))</f>
        <v/>
      </c>
      <c r="AL13" s="15" t="str">
        <f aca="false">IF(OR(C13&lt;&gt;"Closed",D13="",F13=""),"",IF(AL11&gt;D13,"",AK73*Loans!C7/12))</f>
        <v/>
      </c>
      <c r="AM13" s="15" t="str">
        <f aca="false">IF(OR(C13&lt;&gt;"Closed",D13="",F13=""),"",IF(AM11&gt;D13,"",AL73*Loans!C7/12))</f>
        <v/>
      </c>
      <c r="AN13" s="15" t="str">
        <f aca="false">IF(OR(C13&lt;&gt;"Closed",D13="",F13=""),"",IF(AN11&gt;D13,"",AM73*Loans!C7/12))</f>
        <v/>
      </c>
      <c r="AO13" s="15" t="str">
        <f aca="false">IF(OR(C13&lt;&gt;"Closed",D13="",F13=""),"",IF(AO11&gt;D13,"",AN73*Loans!C7/12))</f>
        <v/>
      </c>
      <c r="AP13" s="15" t="str">
        <f aca="false">IF(OR(C13&lt;&gt;"Closed",D13="",F13=""),"",IF(AP11&gt;D13,"",AO73*Loans!C7/12))</f>
        <v/>
      </c>
      <c r="AQ13" s="15" t="str">
        <f aca="false">IF(OR(C13&lt;&gt;"Closed",D13="",F13=""),"",IF(AQ11&gt;D13,"",AP73*Loans!C7/12))</f>
        <v/>
      </c>
      <c r="AR13" s="15" t="str">
        <f aca="false">IF(OR(C13&lt;&gt;"Closed",D13="",F13=""),"",IF(AR11&gt;D13,"",AQ73*Loans!C7/12))</f>
        <v/>
      </c>
      <c r="AS13" s="15" t="str">
        <f aca="false">IF(OR(C13&lt;&gt;"Closed",D13="",F13=""),"",IF(AS11&gt;D13,"",AR73*Loans!C7/12))</f>
        <v/>
      </c>
      <c r="AT13" s="15" t="str">
        <f aca="false">IF(OR(C13&lt;&gt;"Closed",D13="",F13=""),"",IF(AT11&gt;D13,"",AS73*Loans!C7/12))</f>
        <v/>
      </c>
      <c r="AU13" s="15" t="str">
        <f aca="false">IF(OR(C13&lt;&gt;"Closed",D13="",F13=""),"",IF(AU11&gt;D13,"",AT73*Loans!C7/12))</f>
        <v/>
      </c>
      <c r="AV13" s="15" t="str">
        <f aca="false">IF(OR(C13&lt;&gt;"Closed",D13="",F13=""),"",IF(AV11&gt;D13,"",AU73*Loans!C7/12))</f>
        <v/>
      </c>
      <c r="AW13" s="15" t="str">
        <f aca="false">IF(OR(C13&lt;&gt;"Closed",D13="",F13=""),"",IF(AW11&gt;D13,"",AV73*Loans!C7/12))</f>
        <v/>
      </c>
      <c r="AX13" s="15" t="str">
        <f aca="false">IF(OR(C13&lt;&gt;"Closed",D13="",F13=""),"",IF(AX11&gt;D13,"",AW73*Loans!C7/12))</f>
        <v/>
      </c>
      <c r="AY13" s="15" t="str">
        <f aca="false">IF(OR(C13&lt;&gt;"Closed",D13="",F13=""),"",IF(AY11&gt;D13,"",AX73*Loans!C7/12))</f>
        <v/>
      </c>
      <c r="AZ13" s="15" t="str">
        <f aca="false">IF(OR(C13&lt;&gt;"Closed",D13="",F13=""),"",IF(AZ11&gt;D13,"",AY73*Loans!C7/12))</f>
        <v/>
      </c>
      <c r="BA13" s="15" t="str">
        <f aca="false">IF(OR(C13&lt;&gt;"Closed",D13="",F13=""),"",IF(BA11&gt;D13,"",AZ73*Loans!C7/12))</f>
        <v/>
      </c>
      <c r="BB13" s="15" t="str">
        <f aca="false">IF(OR(C13&lt;&gt;"Closed",D13="",F13=""),"",IF(BB11&gt;D13,"",BA73*Loans!C7/12))</f>
        <v/>
      </c>
      <c r="BC13" s="15" t="str">
        <f aca="false">IF(OR(C13&lt;&gt;"Closed",D13="",F13=""),"",IF(BC11&gt;D13,"",BB73*Loans!C7/12))</f>
        <v/>
      </c>
      <c r="BD13" s="15" t="str">
        <f aca="false">IF(OR(C13&lt;&gt;"Closed",D13="",F13=""),"",IF(BD11&gt;D13,"",BC73*Loans!C7/12))</f>
        <v/>
      </c>
      <c r="BE13" s="15" t="str">
        <f aca="false">IF(OR(C13&lt;&gt;"Closed",D13="",F13=""),"",IF(BE11&gt;D13,"",BD73*Loans!C7/12))</f>
        <v/>
      </c>
      <c r="BF13" s="15" t="str">
        <f aca="false">IF(OR(C13&lt;&gt;"Closed",D13="",F13=""),"",IF(BF11&gt;D13,"",BE73*Loans!C7/12))</f>
        <v/>
      </c>
      <c r="BG13" s="15" t="str">
        <f aca="false">IF(OR(C13&lt;&gt;"Closed",D13="",F13=""),"",IF(BG11&gt;D13,"",BF73*Loans!C7/12))</f>
        <v/>
      </c>
      <c r="BH13" s="15" t="str">
        <f aca="false">IF(OR(C13&lt;&gt;"Closed",D13="",F13=""),"",IF(BH11&gt;D13,"",BG73*Loans!C7/12))</f>
        <v/>
      </c>
      <c r="BI13" s="15" t="str">
        <f aca="false">IF(OR(C13&lt;&gt;"Closed",D13="",F13=""),"",IF(BI11&gt;D13,"",BH73*Loans!C7/12))</f>
        <v/>
      </c>
      <c r="BJ13" s="15" t="str">
        <f aca="false">IF(OR(C13&lt;&gt;"Closed",D13="",F13=""),"",IF(BJ11&gt;D13,"",BI73*Loans!C7/12))</f>
        <v/>
      </c>
      <c r="BK13" s="15" t="str">
        <f aca="false">IF(OR(C13&lt;&gt;"Closed",D13="",F13=""),"",IF(BK11&gt;D13,"",BJ73*Loans!C7/12))</f>
        <v/>
      </c>
      <c r="BL13" s="15" t="str">
        <f aca="false">IF(OR(C13&lt;&gt;"Closed",D13="",F13=""),"",IF(BL11&gt;D13,"",BK73*Loans!C7/12))</f>
        <v/>
      </c>
      <c r="BM13" s="15" t="str">
        <f aca="false">IF(OR(C13&lt;&gt;"Closed",D13="",F13=""),"",IF(BM11&gt;D13,"",BL73*Loans!C7/12))</f>
        <v/>
      </c>
      <c r="BN13" s="15" t="str">
        <f aca="false">IF(OR(C13&lt;&gt;"Closed",D13="",F13=""),"",IF(BN11&gt;D13,"",BM73*Loans!C7/12))</f>
        <v/>
      </c>
      <c r="BO13" s="15" t="str">
        <f aca="false">IF(OR(C13&lt;&gt;"Closed",D13="",F13=""),"",IF(BO11&gt;D13,"",BN73*Loans!C7/12))</f>
        <v/>
      </c>
      <c r="BP13" s="15" t="str">
        <f aca="false">IF(OR(C13&lt;&gt;"Closed",D13="",F13=""),"",IF(BP11&gt;D13,"",BO73*Loans!C7/12))</f>
        <v/>
      </c>
    </row>
    <row r="14" customFormat="false" ht="15" hidden="false" customHeight="false" outlineLevel="0" collapsed="false">
      <c r="A14" s="29" t="n">
        <f aca="false">IF(Loans!A14="","",Loans!A14)</f>
        <v>3</v>
      </c>
      <c r="B14" s="29" t="str">
        <f aca="false">IF(Loans!B14="","",Loans!B14)</f>
        <v>SAMPLE Client C (replace)</v>
      </c>
      <c r="C14" s="29" t="str">
        <f aca="false">IF(Loans!C14="","",Loans!C14)</f>
        <v>Pipeline</v>
      </c>
      <c r="D14" s="16" t="n">
        <f aca="false">IF(Loans!I14="","",Loans!I14)</f>
        <v>60</v>
      </c>
      <c r="E14" s="17" t="n">
        <f aca="false">IF(Loans!E14="","",Loans!E14)</f>
        <v>46397</v>
      </c>
      <c r="F14" s="15" t="n">
        <f aca="false">IF(Loans!F14="","",Loans!F14)</f>
        <v>17500</v>
      </c>
      <c r="G14" s="15" t="str">
        <f aca="false">IF(OR(C14&lt;&gt;"Closed",D14="",F14=""),"",PMT(Loans!C7/12,D14,-F14))</f>
        <v/>
      </c>
      <c r="H14" s="15" t="str">
        <f aca="false">IF(C14&lt;&gt;"Closed","",SUM(I14:BP14))</f>
        <v/>
      </c>
      <c r="I14" s="15" t="str">
        <f aca="false">IF(OR(C14&lt;&gt;"Closed",D14="",F14=""),"",IF(I11&gt;D14,"",F14*Loans!C7/12))</f>
        <v/>
      </c>
      <c r="J14" s="15" t="str">
        <f aca="false">IF(OR(C14&lt;&gt;"Closed",D14="",F14=""),"",IF(J11&gt;D14,"",I74*Loans!C7/12))</f>
        <v/>
      </c>
      <c r="K14" s="15" t="str">
        <f aca="false">IF(OR(C14&lt;&gt;"Closed",D14="",F14=""),"",IF(K11&gt;D14,"",J74*Loans!C7/12))</f>
        <v/>
      </c>
      <c r="L14" s="15" t="str">
        <f aca="false">IF(OR(C14&lt;&gt;"Closed",D14="",F14=""),"",IF(L11&gt;D14,"",K74*Loans!C7/12))</f>
        <v/>
      </c>
      <c r="M14" s="15" t="str">
        <f aca="false">IF(OR(C14&lt;&gt;"Closed",D14="",F14=""),"",IF(M11&gt;D14,"",L74*Loans!C7/12))</f>
        <v/>
      </c>
      <c r="N14" s="15" t="str">
        <f aca="false">IF(OR(C14&lt;&gt;"Closed",D14="",F14=""),"",IF(N11&gt;D14,"",M74*Loans!C7/12))</f>
        <v/>
      </c>
      <c r="O14" s="15" t="str">
        <f aca="false">IF(OR(C14&lt;&gt;"Closed",D14="",F14=""),"",IF(O11&gt;D14,"",N74*Loans!C7/12))</f>
        <v/>
      </c>
      <c r="P14" s="15" t="str">
        <f aca="false">IF(OR(C14&lt;&gt;"Closed",D14="",F14=""),"",IF(P11&gt;D14,"",O74*Loans!C7/12))</f>
        <v/>
      </c>
      <c r="Q14" s="15" t="str">
        <f aca="false">IF(OR(C14&lt;&gt;"Closed",D14="",F14=""),"",IF(Q11&gt;D14,"",P74*Loans!C7/12))</f>
        <v/>
      </c>
      <c r="R14" s="15" t="str">
        <f aca="false">IF(OR(C14&lt;&gt;"Closed",D14="",F14=""),"",IF(R11&gt;D14,"",Q74*Loans!C7/12))</f>
        <v/>
      </c>
      <c r="S14" s="15" t="str">
        <f aca="false">IF(OR(C14&lt;&gt;"Closed",D14="",F14=""),"",IF(S11&gt;D14,"",R74*Loans!C7/12))</f>
        <v/>
      </c>
      <c r="T14" s="15" t="str">
        <f aca="false">IF(OR(C14&lt;&gt;"Closed",D14="",F14=""),"",IF(T11&gt;D14,"",S74*Loans!C7/12))</f>
        <v/>
      </c>
      <c r="U14" s="15" t="str">
        <f aca="false">IF(OR(C14&lt;&gt;"Closed",D14="",F14=""),"",IF(U11&gt;D14,"",T74*Loans!C7/12))</f>
        <v/>
      </c>
      <c r="V14" s="15" t="str">
        <f aca="false">IF(OR(C14&lt;&gt;"Closed",D14="",F14=""),"",IF(V11&gt;D14,"",U74*Loans!C7/12))</f>
        <v/>
      </c>
      <c r="W14" s="15" t="str">
        <f aca="false">IF(OR(C14&lt;&gt;"Closed",D14="",F14=""),"",IF(W11&gt;D14,"",V74*Loans!C7/12))</f>
        <v/>
      </c>
      <c r="X14" s="15" t="str">
        <f aca="false">IF(OR(C14&lt;&gt;"Closed",D14="",F14=""),"",IF(X11&gt;D14,"",W74*Loans!C7/12))</f>
        <v/>
      </c>
      <c r="Y14" s="15" t="str">
        <f aca="false">IF(OR(C14&lt;&gt;"Closed",D14="",F14=""),"",IF(Y11&gt;D14,"",X74*Loans!C7/12))</f>
        <v/>
      </c>
      <c r="Z14" s="15" t="str">
        <f aca="false">IF(OR(C14&lt;&gt;"Closed",D14="",F14=""),"",IF(Z11&gt;D14,"",Y74*Loans!C7/12))</f>
        <v/>
      </c>
      <c r="AA14" s="15" t="str">
        <f aca="false">IF(OR(C14&lt;&gt;"Closed",D14="",F14=""),"",IF(AA11&gt;D14,"",Z74*Loans!C7/12))</f>
        <v/>
      </c>
      <c r="AB14" s="15" t="str">
        <f aca="false">IF(OR(C14&lt;&gt;"Closed",D14="",F14=""),"",IF(AB11&gt;D14,"",AA74*Loans!C7/12))</f>
        <v/>
      </c>
      <c r="AC14" s="15" t="str">
        <f aca="false">IF(OR(C14&lt;&gt;"Closed",D14="",F14=""),"",IF(AC11&gt;D14,"",AB74*Loans!C7/12))</f>
        <v/>
      </c>
      <c r="AD14" s="15" t="str">
        <f aca="false">IF(OR(C14&lt;&gt;"Closed",D14="",F14=""),"",IF(AD11&gt;D14,"",AC74*Loans!C7/12))</f>
        <v/>
      </c>
      <c r="AE14" s="15" t="str">
        <f aca="false">IF(OR(C14&lt;&gt;"Closed",D14="",F14=""),"",IF(AE11&gt;D14,"",AD74*Loans!C7/12))</f>
        <v/>
      </c>
      <c r="AF14" s="15" t="str">
        <f aca="false">IF(OR(C14&lt;&gt;"Closed",D14="",F14=""),"",IF(AF11&gt;D14,"",AE74*Loans!C7/12))</f>
        <v/>
      </c>
      <c r="AG14" s="15" t="str">
        <f aca="false">IF(OR(C14&lt;&gt;"Closed",D14="",F14=""),"",IF(AG11&gt;D14,"",AF74*Loans!C7/12))</f>
        <v/>
      </c>
      <c r="AH14" s="15" t="str">
        <f aca="false">IF(OR(C14&lt;&gt;"Closed",D14="",F14=""),"",IF(AH11&gt;D14,"",AG74*Loans!C7/12))</f>
        <v/>
      </c>
      <c r="AI14" s="15" t="str">
        <f aca="false">IF(OR(C14&lt;&gt;"Closed",D14="",F14=""),"",IF(AI11&gt;D14,"",AH74*Loans!C7/12))</f>
        <v/>
      </c>
      <c r="AJ14" s="15" t="str">
        <f aca="false">IF(OR(C14&lt;&gt;"Closed",D14="",F14=""),"",IF(AJ11&gt;D14,"",AI74*Loans!C7/12))</f>
        <v/>
      </c>
      <c r="AK14" s="15" t="str">
        <f aca="false">IF(OR(C14&lt;&gt;"Closed",D14="",F14=""),"",IF(AK11&gt;D14,"",AJ74*Loans!C7/12))</f>
        <v/>
      </c>
      <c r="AL14" s="15" t="str">
        <f aca="false">IF(OR(C14&lt;&gt;"Closed",D14="",F14=""),"",IF(AL11&gt;D14,"",AK74*Loans!C7/12))</f>
        <v/>
      </c>
      <c r="AM14" s="15" t="str">
        <f aca="false">IF(OR(C14&lt;&gt;"Closed",D14="",F14=""),"",IF(AM11&gt;D14,"",AL74*Loans!C7/12))</f>
        <v/>
      </c>
      <c r="AN14" s="15" t="str">
        <f aca="false">IF(OR(C14&lt;&gt;"Closed",D14="",F14=""),"",IF(AN11&gt;D14,"",AM74*Loans!C7/12))</f>
        <v/>
      </c>
      <c r="AO14" s="15" t="str">
        <f aca="false">IF(OR(C14&lt;&gt;"Closed",D14="",F14=""),"",IF(AO11&gt;D14,"",AN74*Loans!C7/12))</f>
        <v/>
      </c>
      <c r="AP14" s="15" t="str">
        <f aca="false">IF(OR(C14&lt;&gt;"Closed",D14="",F14=""),"",IF(AP11&gt;D14,"",AO74*Loans!C7/12))</f>
        <v/>
      </c>
      <c r="AQ14" s="15" t="str">
        <f aca="false">IF(OR(C14&lt;&gt;"Closed",D14="",F14=""),"",IF(AQ11&gt;D14,"",AP74*Loans!C7/12))</f>
        <v/>
      </c>
      <c r="AR14" s="15" t="str">
        <f aca="false">IF(OR(C14&lt;&gt;"Closed",D14="",F14=""),"",IF(AR11&gt;D14,"",AQ74*Loans!C7/12))</f>
        <v/>
      </c>
      <c r="AS14" s="15" t="str">
        <f aca="false">IF(OR(C14&lt;&gt;"Closed",D14="",F14=""),"",IF(AS11&gt;D14,"",AR74*Loans!C7/12))</f>
        <v/>
      </c>
      <c r="AT14" s="15" t="str">
        <f aca="false">IF(OR(C14&lt;&gt;"Closed",D14="",F14=""),"",IF(AT11&gt;D14,"",AS74*Loans!C7/12))</f>
        <v/>
      </c>
      <c r="AU14" s="15" t="str">
        <f aca="false">IF(OR(C14&lt;&gt;"Closed",D14="",F14=""),"",IF(AU11&gt;D14,"",AT74*Loans!C7/12))</f>
        <v/>
      </c>
      <c r="AV14" s="15" t="str">
        <f aca="false">IF(OR(C14&lt;&gt;"Closed",D14="",F14=""),"",IF(AV11&gt;D14,"",AU74*Loans!C7/12))</f>
        <v/>
      </c>
      <c r="AW14" s="15" t="str">
        <f aca="false">IF(OR(C14&lt;&gt;"Closed",D14="",F14=""),"",IF(AW11&gt;D14,"",AV74*Loans!C7/12))</f>
        <v/>
      </c>
      <c r="AX14" s="15" t="str">
        <f aca="false">IF(OR(C14&lt;&gt;"Closed",D14="",F14=""),"",IF(AX11&gt;D14,"",AW74*Loans!C7/12))</f>
        <v/>
      </c>
      <c r="AY14" s="15" t="str">
        <f aca="false">IF(OR(C14&lt;&gt;"Closed",D14="",F14=""),"",IF(AY11&gt;D14,"",AX74*Loans!C7/12))</f>
        <v/>
      </c>
      <c r="AZ14" s="15" t="str">
        <f aca="false">IF(OR(C14&lt;&gt;"Closed",D14="",F14=""),"",IF(AZ11&gt;D14,"",AY74*Loans!C7/12))</f>
        <v/>
      </c>
      <c r="BA14" s="15" t="str">
        <f aca="false">IF(OR(C14&lt;&gt;"Closed",D14="",F14=""),"",IF(BA11&gt;D14,"",AZ74*Loans!C7/12))</f>
        <v/>
      </c>
      <c r="BB14" s="15" t="str">
        <f aca="false">IF(OR(C14&lt;&gt;"Closed",D14="",F14=""),"",IF(BB11&gt;D14,"",BA74*Loans!C7/12))</f>
        <v/>
      </c>
      <c r="BC14" s="15" t="str">
        <f aca="false">IF(OR(C14&lt;&gt;"Closed",D14="",F14=""),"",IF(BC11&gt;D14,"",BB74*Loans!C7/12))</f>
        <v/>
      </c>
      <c r="BD14" s="15" t="str">
        <f aca="false">IF(OR(C14&lt;&gt;"Closed",D14="",F14=""),"",IF(BD11&gt;D14,"",BC74*Loans!C7/12))</f>
        <v/>
      </c>
      <c r="BE14" s="15" t="str">
        <f aca="false">IF(OR(C14&lt;&gt;"Closed",D14="",F14=""),"",IF(BE11&gt;D14,"",BD74*Loans!C7/12))</f>
        <v/>
      </c>
      <c r="BF14" s="15" t="str">
        <f aca="false">IF(OR(C14&lt;&gt;"Closed",D14="",F14=""),"",IF(BF11&gt;D14,"",BE74*Loans!C7/12))</f>
        <v/>
      </c>
      <c r="BG14" s="15" t="str">
        <f aca="false">IF(OR(C14&lt;&gt;"Closed",D14="",F14=""),"",IF(BG11&gt;D14,"",BF74*Loans!C7/12))</f>
        <v/>
      </c>
      <c r="BH14" s="15" t="str">
        <f aca="false">IF(OR(C14&lt;&gt;"Closed",D14="",F14=""),"",IF(BH11&gt;D14,"",BG74*Loans!C7/12))</f>
        <v/>
      </c>
      <c r="BI14" s="15" t="str">
        <f aca="false">IF(OR(C14&lt;&gt;"Closed",D14="",F14=""),"",IF(BI11&gt;D14,"",BH74*Loans!C7/12))</f>
        <v/>
      </c>
      <c r="BJ14" s="15" t="str">
        <f aca="false">IF(OR(C14&lt;&gt;"Closed",D14="",F14=""),"",IF(BJ11&gt;D14,"",BI74*Loans!C7/12))</f>
        <v/>
      </c>
      <c r="BK14" s="15" t="str">
        <f aca="false">IF(OR(C14&lt;&gt;"Closed",D14="",F14=""),"",IF(BK11&gt;D14,"",BJ74*Loans!C7/12))</f>
        <v/>
      </c>
      <c r="BL14" s="15" t="str">
        <f aca="false">IF(OR(C14&lt;&gt;"Closed",D14="",F14=""),"",IF(BL11&gt;D14,"",BK74*Loans!C7/12))</f>
        <v/>
      </c>
      <c r="BM14" s="15" t="str">
        <f aca="false">IF(OR(C14&lt;&gt;"Closed",D14="",F14=""),"",IF(BM11&gt;D14,"",BL74*Loans!C7/12))</f>
        <v/>
      </c>
      <c r="BN14" s="15" t="str">
        <f aca="false">IF(OR(C14&lt;&gt;"Closed",D14="",F14=""),"",IF(BN11&gt;D14,"",BM74*Loans!C7/12))</f>
        <v/>
      </c>
      <c r="BO14" s="15" t="str">
        <f aca="false">IF(OR(C14&lt;&gt;"Closed",D14="",F14=""),"",IF(BO11&gt;D14,"",BN74*Loans!C7/12))</f>
        <v/>
      </c>
      <c r="BP14" s="15" t="str">
        <f aca="false">IF(OR(C14&lt;&gt;"Closed",D14="",F14=""),"",IF(BP11&gt;D14,"",BO74*Loans!C7/12))</f>
        <v/>
      </c>
    </row>
    <row r="15" customFormat="false" ht="15" hidden="false" customHeight="false" outlineLevel="0" collapsed="false">
      <c r="A15" s="29" t="str">
        <f aca="false">IF(Loans!A15="","",Loans!A15)</f>
        <v/>
      </c>
      <c r="B15" s="29" t="str">
        <f aca="false">IF(Loans!B15="","",Loans!B15)</f>
        <v/>
      </c>
      <c r="C15" s="29" t="str">
        <f aca="false">IF(Loans!C15="","",Loans!C15)</f>
        <v/>
      </c>
      <c r="D15" s="16" t="str">
        <f aca="false">IF(Loans!I15="","",Loans!I15)</f>
        <v/>
      </c>
      <c r="E15" s="17" t="str">
        <f aca="false">IF(Loans!E15="","",Loans!E15)</f>
        <v/>
      </c>
      <c r="F15" s="15" t="str">
        <f aca="false">IF(Loans!F15="","",Loans!F15)</f>
        <v/>
      </c>
      <c r="G15" s="15" t="str">
        <f aca="false">IF(OR(C15&lt;&gt;"Closed",D15="",F15=""),"",PMT(Loans!C7/12,D15,-F15))</f>
        <v/>
      </c>
      <c r="H15" s="15" t="str">
        <f aca="false">IF(C15&lt;&gt;"Closed","",SUM(I15:BP15))</f>
        <v/>
      </c>
      <c r="I15" s="15" t="str">
        <f aca="false">IF(OR(C15&lt;&gt;"Closed",D15="",F15=""),"",IF(I11&gt;D15,"",F15*Loans!C7/12))</f>
        <v/>
      </c>
      <c r="J15" s="15" t="str">
        <f aca="false">IF(OR(C15&lt;&gt;"Closed",D15="",F15=""),"",IF(J11&gt;D15,"",I75*Loans!C7/12))</f>
        <v/>
      </c>
      <c r="K15" s="15" t="str">
        <f aca="false">IF(OR(C15&lt;&gt;"Closed",D15="",F15=""),"",IF(K11&gt;D15,"",J75*Loans!C7/12))</f>
        <v/>
      </c>
      <c r="L15" s="15" t="str">
        <f aca="false">IF(OR(C15&lt;&gt;"Closed",D15="",F15=""),"",IF(L11&gt;D15,"",K75*Loans!C7/12))</f>
        <v/>
      </c>
      <c r="M15" s="15" t="str">
        <f aca="false">IF(OR(C15&lt;&gt;"Closed",D15="",F15=""),"",IF(M11&gt;D15,"",L75*Loans!C7/12))</f>
        <v/>
      </c>
      <c r="N15" s="15" t="str">
        <f aca="false">IF(OR(C15&lt;&gt;"Closed",D15="",F15=""),"",IF(N11&gt;D15,"",M75*Loans!C7/12))</f>
        <v/>
      </c>
      <c r="O15" s="15" t="str">
        <f aca="false">IF(OR(C15&lt;&gt;"Closed",D15="",F15=""),"",IF(O11&gt;D15,"",N75*Loans!C7/12))</f>
        <v/>
      </c>
      <c r="P15" s="15" t="str">
        <f aca="false">IF(OR(C15&lt;&gt;"Closed",D15="",F15=""),"",IF(P11&gt;D15,"",O75*Loans!C7/12))</f>
        <v/>
      </c>
      <c r="Q15" s="15" t="str">
        <f aca="false">IF(OR(C15&lt;&gt;"Closed",D15="",F15=""),"",IF(Q11&gt;D15,"",P75*Loans!C7/12))</f>
        <v/>
      </c>
      <c r="R15" s="15" t="str">
        <f aca="false">IF(OR(C15&lt;&gt;"Closed",D15="",F15=""),"",IF(R11&gt;D15,"",Q75*Loans!C7/12))</f>
        <v/>
      </c>
      <c r="S15" s="15" t="str">
        <f aca="false">IF(OR(C15&lt;&gt;"Closed",D15="",F15=""),"",IF(S11&gt;D15,"",R75*Loans!C7/12))</f>
        <v/>
      </c>
      <c r="T15" s="15" t="str">
        <f aca="false">IF(OR(C15&lt;&gt;"Closed",D15="",F15=""),"",IF(T11&gt;D15,"",S75*Loans!C7/12))</f>
        <v/>
      </c>
      <c r="U15" s="15" t="str">
        <f aca="false">IF(OR(C15&lt;&gt;"Closed",D15="",F15=""),"",IF(U11&gt;D15,"",T75*Loans!C7/12))</f>
        <v/>
      </c>
      <c r="V15" s="15" t="str">
        <f aca="false">IF(OR(C15&lt;&gt;"Closed",D15="",F15=""),"",IF(V11&gt;D15,"",U75*Loans!C7/12))</f>
        <v/>
      </c>
      <c r="W15" s="15" t="str">
        <f aca="false">IF(OR(C15&lt;&gt;"Closed",D15="",F15=""),"",IF(W11&gt;D15,"",V75*Loans!C7/12))</f>
        <v/>
      </c>
      <c r="X15" s="15" t="str">
        <f aca="false">IF(OR(C15&lt;&gt;"Closed",D15="",F15=""),"",IF(X11&gt;D15,"",W75*Loans!C7/12))</f>
        <v/>
      </c>
      <c r="Y15" s="15" t="str">
        <f aca="false">IF(OR(C15&lt;&gt;"Closed",D15="",F15=""),"",IF(Y11&gt;D15,"",X75*Loans!C7/12))</f>
        <v/>
      </c>
      <c r="Z15" s="15" t="str">
        <f aca="false">IF(OR(C15&lt;&gt;"Closed",D15="",F15=""),"",IF(Z11&gt;D15,"",Y75*Loans!C7/12))</f>
        <v/>
      </c>
      <c r="AA15" s="15" t="str">
        <f aca="false">IF(OR(C15&lt;&gt;"Closed",D15="",F15=""),"",IF(AA11&gt;D15,"",Z75*Loans!C7/12))</f>
        <v/>
      </c>
      <c r="AB15" s="15" t="str">
        <f aca="false">IF(OR(C15&lt;&gt;"Closed",D15="",F15=""),"",IF(AB11&gt;D15,"",AA75*Loans!C7/12))</f>
        <v/>
      </c>
      <c r="AC15" s="15" t="str">
        <f aca="false">IF(OR(C15&lt;&gt;"Closed",D15="",F15=""),"",IF(AC11&gt;D15,"",AB75*Loans!C7/12))</f>
        <v/>
      </c>
      <c r="AD15" s="15" t="str">
        <f aca="false">IF(OR(C15&lt;&gt;"Closed",D15="",F15=""),"",IF(AD11&gt;D15,"",AC75*Loans!C7/12))</f>
        <v/>
      </c>
      <c r="AE15" s="15" t="str">
        <f aca="false">IF(OR(C15&lt;&gt;"Closed",D15="",F15=""),"",IF(AE11&gt;D15,"",AD75*Loans!C7/12))</f>
        <v/>
      </c>
      <c r="AF15" s="15" t="str">
        <f aca="false">IF(OR(C15&lt;&gt;"Closed",D15="",F15=""),"",IF(AF11&gt;D15,"",AE75*Loans!C7/12))</f>
        <v/>
      </c>
      <c r="AG15" s="15" t="str">
        <f aca="false">IF(OR(C15&lt;&gt;"Closed",D15="",F15=""),"",IF(AG11&gt;D15,"",AF75*Loans!C7/12))</f>
        <v/>
      </c>
      <c r="AH15" s="15" t="str">
        <f aca="false">IF(OR(C15&lt;&gt;"Closed",D15="",F15=""),"",IF(AH11&gt;D15,"",AG75*Loans!C7/12))</f>
        <v/>
      </c>
      <c r="AI15" s="15" t="str">
        <f aca="false">IF(OR(C15&lt;&gt;"Closed",D15="",F15=""),"",IF(AI11&gt;D15,"",AH75*Loans!C7/12))</f>
        <v/>
      </c>
      <c r="AJ15" s="15" t="str">
        <f aca="false">IF(OR(C15&lt;&gt;"Closed",D15="",F15=""),"",IF(AJ11&gt;D15,"",AI75*Loans!C7/12))</f>
        <v/>
      </c>
      <c r="AK15" s="15" t="str">
        <f aca="false">IF(OR(C15&lt;&gt;"Closed",D15="",F15=""),"",IF(AK11&gt;D15,"",AJ75*Loans!C7/12))</f>
        <v/>
      </c>
      <c r="AL15" s="15" t="str">
        <f aca="false">IF(OR(C15&lt;&gt;"Closed",D15="",F15=""),"",IF(AL11&gt;D15,"",AK75*Loans!C7/12))</f>
        <v/>
      </c>
      <c r="AM15" s="15" t="str">
        <f aca="false">IF(OR(C15&lt;&gt;"Closed",D15="",F15=""),"",IF(AM11&gt;D15,"",AL75*Loans!C7/12))</f>
        <v/>
      </c>
      <c r="AN15" s="15" t="str">
        <f aca="false">IF(OR(C15&lt;&gt;"Closed",D15="",F15=""),"",IF(AN11&gt;D15,"",AM75*Loans!C7/12))</f>
        <v/>
      </c>
      <c r="AO15" s="15" t="str">
        <f aca="false">IF(OR(C15&lt;&gt;"Closed",D15="",F15=""),"",IF(AO11&gt;D15,"",AN75*Loans!C7/12))</f>
        <v/>
      </c>
      <c r="AP15" s="15" t="str">
        <f aca="false">IF(OR(C15&lt;&gt;"Closed",D15="",F15=""),"",IF(AP11&gt;D15,"",AO75*Loans!C7/12))</f>
        <v/>
      </c>
      <c r="AQ15" s="15" t="str">
        <f aca="false">IF(OR(C15&lt;&gt;"Closed",D15="",F15=""),"",IF(AQ11&gt;D15,"",AP75*Loans!C7/12))</f>
        <v/>
      </c>
      <c r="AR15" s="15" t="str">
        <f aca="false">IF(OR(C15&lt;&gt;"Closed",D15="",F15=""),"",IF(AR11&gt;D15,"",AQ75*Loans!C7/12))</f>
        <v/>
      </c>
      <c r="AS15" s="15" t="str">
        <f aca="false">IF(OR(C15&lt;&gt;"Closed",D15="",F15=""),"",IF(AS11&gt;D15,"",AR75*Loans!C7/12))</f>
        <v/>
      </c>
      <c r="AT15" s="15" t="str">
        <f aca="false">IF(OR(C15&lt;&gt;"Closed",D15="",F15=""),"",IF(AT11&gt;D15,"",AS75*Loans!C7/12))</f>
        <v/>
      </c>
      <c r="AU15" s="15" t="str">
        <f aca="false">IF(OR(C15&lt;&gt;"Closed",D15="",F15=""),"",IF(AU11&gt;D15,"",AT75*Loans!C7/12))</f>
        <v/>
      </c>
      <c r="AV15" s="15" t="str">
        <f aca="false">IF(OR(C15&lt;&gt;"Closed",D15="",F15=""),"",IF(AV11&gt;D15,"",AU75*Loans!C7/12))</f>
        <v/>
      </c>
      <c r="AW15" s="15" t="str">
        <f aca="false">IF(OR(C15&lt;&gt;"Closed",D15="",F15=""),"",IF(AW11&gt;D15,"",AV75*Loans!C7/12))</f>
        <v/>
      </c>
      <c r="AX15" s="15" t="str">
        <f aca="false">IF(OR(C15&lt;&gt;"Closed",D15="",F15=""),"",IF(AX11&gt;D15,"",AW75*Loans!C7/12))</f>
        <v/>
      </c>
      <c r="AY15" s="15" t="str">
        <f aca="false">IF(OR(C15&lt;&gt;"Closed",D15="",F15=""),"",IF(AY11&gt;D15,"",AX75*Loans!C7/12))</f>
        <v/>
      </c>
      <c r="AZ15" s="15" t="str">
        <f aca="false">IF(OR(C15&lt;&gt;"Closed",D15="",F15=""),"",IF(AZ11&gt;D15,"",AY75*Loans!C7/12))</f>
        <v/>
      </c>
      <c r="BA15" s="15" t="str">
        <f aca="false">IF(OR(C15&lt;&gt;"Closed",D15="",F15=""),"",IF(BA11&gt;D15,"",AZ75*Loans!C7/12))</f>
        <v/>
      </c>
      <c r="BB15" s="15" t="str">
        <f aca="false">IF(OR(C15&lt;&gt;"Closed",D15="",F15=""),"",IF(BB11&gt;D15,"",BA75*Loans!C7/12))</f>
        <v/>
      </c>
      <c r="BC15" s="15" t="str">
        <f aca="false">IF(OR(C15&lt;&gt;"Closed",D15="",F15=""),"",IF(BC11&gt;D15,"",BB75*Loans!C7/12))</f>
        <v/>
      </c>
      <c r="BD15" s="15" t="str">
        <f aca="false">IF(OR(C15&lt;&gt;"Closed",D15="",F15=""),"",IF(BD11&gt;D15,"",BC75*Loans!C7/12))</f>
        <v/>
      </c>
      <c r="BE15" s="15" t="str">
        <f aca="false">IF(OR(C15&lt;&gt;"Closed",D15="",F15=""),"",IF(BE11&gt;D15,"",BD75*Loans!C7/12))</f>
        <v/>
      </c>
      <c r="BF15" s="15" t="str">
        <f aca="false">IF(OR(C15&lt;&gt;"Closed",D15="",F15=""),"",IF(BF11&gt;D15,"",BE75*Loans!C7/12))</f>
        <v/>
      </c>
      <c r="BG15" s="15" t="str">
        <f aca="false">IF(OR(C15&lt;&gt;"Closed",D15="",F15=""),"",IF(BG11&gt;D15,"",BF75*Loans!C7/12))</f>
        <v/>
      </c>
      <c r="BH15" s="15" t="str">
        <f aca="false">IF(OR(C15&lt;&gt;"Closed",D15="",F15=""),"",IF(BH11&gt;D15,"",BG75*Loans!C7/12))</f>
        <v/>
      </c>
      <c r="BI15" s="15" t="str">
        <f aca="false">IF(OR(C15&lt;&gt;"Closed",D15="",F15=""),"",IF(BI11&gt;D15,"",BH75*Loans!C7/12))</f>
        <v/>
      </c>
      <c r="BJ15" s="15" t="str">
        <f aca="false">IF(OR(C15&lt;&gt;"Closed",D15="",F15=""),"",IF(BJ11&gt;D15,"",BI75*Loans!C7/12))</f>
        <v/>
      </c>
      <c r="BK15" s="15" t="str">
        <f aca="false">IF(OR(C15&lt;&gt;"Closed",D15="",F15=""),"",IF(BK11&gt;D15,"",BJ75*Loans!C7/12))</f>
        <v/>
      </c>
      <c r="BL15" s="15" t="str">
        <f aca="false">IF(OR(C15&lt;&gt;"Closed",D15="",F15=""),"",IF(BL11&gt;D15,"",BK75*Loans!C7/12))</f>
        <v/>
      </c>
      <c r="BM15" s="15" t="str">
        <f aca="false">IF(OR(C15&lt;&gt;"Closed",D15="",F15=""),"",IF(BM11&gt;D15,"",BL75*Loans!C7/12))</f>
        <v/>
      </c>
      <c r="BN15" s="15" t="str">
        <f aca="false">IF(OR(C15&lt;&gt;"Closed",D15="",F15=""),"",IF(BN11&gt;D15,"",BM75*Loans!C7/12))</f>
        <v/>
      </c>
      <c r="BO15" s="15" t="str">
        <f aca="false">IF(OR(C15&lt;&gt;"Closed",D15="",F15=""),"",IF(BO11&gt;D15,"",BN75*Loans!C7/12))</f>
        <v/>
      </c>
      <c r="BP15" s="15" t="str">
        <f aca="false">IF(OR(C15&lt;&gt;"Closed",D15="",F15=""),"",IF(BP11&gt;D15,"",BO75*Loans!C7/12))</f>
        <v/>
      </c>
    </row>
    <row r="16" customFormat="false" ht="15" hidden="false" customHeight="false" outlineLevel="0" collapsed="false">
      <c r="A16" s="29" t="str">
        <f aca="false">IF(Loans!A16="","",Loans!A16)</f>
        <v/>
      </c>
      <c r="B16" s="29" t="str">
        <f aca="false">IF(Loans!B16="","",Loans!B16)</f>
        <v/>
      </c>
      <c r="C16" s="29" t="str">
        <f aca="false">IF(Loans!C16="","",Loans!C16)</f>
        <v/>
      </c>
      <c r="D16" s="16" t="str">
        <f aca="false">IF(Loans!I16="","",Loans!I16)</f>
        <v/>
      </c>
      <c r="E16" s="17" t="str">
        <f aca="false">IF(Loans!E16="","",Loans!E16)</f>
        <v/>
      </c>
      <c r="F16" s="15" t="str">
        <f aca="false">IF(Loans!F16="","",Loans!F16)</f>
        <v/>
      </c>
      <c r="G16" s="15" t="str">
        <f aca="false">IF(OR(C16&lt;&gt;"Closed",D16="",F16=""),"",PMT(Loans!C7/12,D16,-F16))</f>
        <v/>
      </c>
      <c r="H16" s="15" t="str">
        <f aca="false">IF(C16&lt;&gt;"Closed","",SUM(I16:BP16))</f>
        <v/>
      </c>
      <c r="I16" s="15" t="str">
        <f aca="false">IF(OR(C16&lt;&gt;"Closed",D16="",F16=""),"",IF(I11&gt;D16,"",F16*Loans!C7/12))</f>
        <v/>
      </c>
      <c r="J16" s="15" t="str">
        <f aca="false">IF(OR(C16&lt;&gt;"Closed",D16="",F16=""),"",IF(J11&gt;D16,"",I76*Loans!C7/12))</f>
        <v/>
      </c>
      <c r="K16" s="15" t="str">
        <f aca="false">IF(OR(C16&lt;&gt;"Closed",D16="",F16=""),"",IF(K11&gt;D16,"",J76*Loans!C7/12))</f>
        <v/>
      </c>
      <c r="L16" s="15" t="str">
        <f aca="false">IF(OR(C16&lt;&gt;"Closed",D16="",F16=""),"",IF(L11&gt;D16,"",K76*Loans!C7/12))</f>
        <v/>
      </c>
      <c r="M16" s="15" t="str">
        <f aca="false">IF(OR(C16&lt;&gt;"Closed",D16="",F16=""),"",IF(M11&gt;D16,"",L76*Loans!C7/12))</f>
        <v/>
      </c>
      <c r="N16" s="15" t="str">
        <f aca="false">IF(OR(C16&lt;&gt;"Closed",D16="",F16=""),"",IF(N11&gt;D16,"",M76*Loans!C7/12))</f>
        <v/>
      </c>
      <c r="O16" s="15" t="str">
        <f aca="false">IF(OR(C16&lt;&gt;"Closed",D16="",F16=""),"",IF(O11&gt;D16,"",N76*Loans!C7/12))</f>
        <v/>
      </c>
      <c r="P16" s="15" t="str">
        <f aca="false">IF(OR(C16&lt;&gt;"Closed",D16="",F16=""),"",IF(P11&gt;D16,"",O76*Loans!C7/12))</f>
        <v/>
      </c>
      <c r="Q16" s="15" t="str">
        <f aca="false">IF(OR(C16&lt;&gt;"Closed",D16="",F16=""),"",IF(Q11&gt;D16,"",P76*Loans!C7/12))</f>
        <v/>
      </c>
      <c r="R16" s="15" t="str">
        <f aca="false">IF(OR(C16&lt;&gt;"Closed",D16="",F16=""),"",IF(R11&gt;D16,"",Q76*Loans!C7/12))</f>
        <v/>
      </c>
      <c r="S16" s="15" t="str">
        <f aca="false">IF(OR(C16&lt;&gt;"Closed",D16="",F16=""),"",IF(S11&gt;D16,"",R76*Loans!C7/12))</f>
        <v/>
      </c>
      <c r="T16" s="15" t="str">
        <f aca="false">IF(OR(C16&lt;&gt;"Closed",D16="",F16=""),"",IF(T11&gt;D16,"",S76*Loans!C7/12))</f>
        <v/>
      </c>
      <c r="U16" s="15" t="str">
        <f aca="false">IF(OR(C16&lt;&gt;"Closed",D16="",F16=""),"",IF(U11&gt;D16,"",T76*Loans!C7/12))</f>
        <v/>
      </c>
      <c r="V16" s="15" t="str">
        <f aca="false">IF(OR(C16&lt;&gt;"Closed",D16="",F16=""),"",IF(V11&gt;D16,"",U76*Loans!C7/12))</f>
        <v/>
      </c>
      <c r="W16" s="15" t="str">
        <f aca="false">IF(OR(C16&lt;&gt;"Closed",D16="",F16=""),"",IF(W11&gt;D16,"",V76*Loans!C7/12))</f>
        <v/>
      </c>
      <c r="X16" s="15" t="str">
        <f aca="false">IF(OR(C16&lt;&gt;"Closed",D16="",F16=""),"",IF(X11&gt;D16,"",W76*Loans!C7/12))</f>
        <v/>
      </c>
      <c r="Y16" s="15" t="str">
        <f aca="false">IF(OR(C16&lt;&gt;"Closed",D16="",F16=""),"",IF(Y11&gt;D16,"",X76*Loans!C7/12))</f>
        <v/>
      </c>
      <c r="Z16" s="15" t="str">
        <f aca="false">IF(OR(C16&lt;&gt;"Closed",D16="",F16=""),"",IF(Z11&gt;D16,"",Y76*Loans!C7/12))</f>
        <v/>
      </c>
      <c r="AA16" s="15" t="str">
        <f aca="false">IF(OR(C16&lt;&gt;"Closed",D16="",F16=""),"",IF(AA11&gt;D16,"",Z76*Loans!C7/12))</f>
        <v/>
      </c>
      <c r="AB16" s="15" t="str">
        <f aca="false">IF(OR(C16&lt;&gt;"Closed",D16="",F16=""),"",IF(AB11&gt;D16,"",AA76*Loans!C7/12))</f>
        <v/>
      </c>
      <c r="AC16" s="15" t="str">
        <f aca="false">IF(OR(C16&lt;&gt;"Closed",D16="",F16=""),"",IF(AC11&gt;D16,"",AB76*Loans!C7/12))</f>
        <v/>
      </c>
      <c r="AD16" s="15" t="str">
        <f aca="false">IF(OR(C16&lt;&gt;"Closed",D16="",F16=""),"",IF(AD11&gt;D16,"",AC76*Loans!C7/12))</f>
        <v/>
      </c>
      <c r="AE16" s="15" t="str">
        <f aca="false">IF(OR(C16&lt;&gt;"Closed",D16="",F16=""),"",IF(AE11&gt;D16,"",AD76*Loans!C7/12))</f>
        <v/>
      </c>
      <c r="AF16" s="15" t="str">
        <f aca="false">IF(OR(C16&lt;&gt;"Closed",D16="",F16=""),"",IF(AF11&gt;D16,"",AE76*Loans!C7/12))</f>
        <v/>
      </c>
      <c r="AG16" s="15" t="str">
        <f aca="false">IF(OR(C16&lt;&gt;"Closed",D16="",F16=""),"",IF(AG11&gt;D16,"",AF76*Loans!C7/12))</f>
        <v/>
      </c>
      <c r="AH16" s="15" t="str">
        <f aca="false">IF(OR(C16&lt;&gt;"Closed",D16="",F16=""),"",IF(AH11&gt;D16,"",AG76*Loans!C7/12))</f>
        <v/>
      </c>
      <c r="AI16" s="15" t="str">
        <f aca="false">IF(OR(C16&lt;&gt;"Closed",D16="",F16=""),"",IF(AI11&gt;D16,"",AH76*Loans!C7/12))</f>
        <v/>
      </c>
      <c r="AJ16" s="15" t="str">
        <f aca="false">IF(OR(C16&lt;&gt;"Closed",D16="",F16=""),"",IF(AJ11&gt;D16,"",AI76*Loans!C7/12))</f>
        <v/>
      </c>
      <c r="AK16" s="15" t="str">
        <f aca="false">IF(OR(C16&lt;&gt;"Closed",D16="",F16=""),"",IF(AK11&gt;D16,"",AJ76*Loans!C7/12))</f>
        <v/>
      </c>
      <c r="AL16" s="15" t="str">
        <f aca="false">IF(OR(C16&lt;&gt;"Closed",D16="",F16=""),"",IF(AL11&gt;D16,"",AK76*Loans!C7/12))</f>
        <v/>
      </c>
      <c r="AM16" s="15" t="str">
        <f aca="false">IF(OR(C16&lt;&gt;"Closed",D16="",F16=""),"",IF(AM11&gt;D16,"",AL76*Loans!C7/12))</f>
        <v/>
      </c>
      <c r="AN16" s="15" t="str">
        <f aca="false">IF(OR(C16&lt;&gt;"Closed",D16="",F16=""),"",IF(AN11&gt;D16,"",AM76*Loans!C7/12))</f>
        <v/>
      </c>
      <c r="AO16" s="15" t="str">
        <f aca="false">IF(OR(C16&lt;&gt;"Closed",D16="",F16=""),"",IF(AO11&gt;D16,"",AN76*Loans!C7/12))</f>
        <v/>
      </c>
      <c r="AP16" s="15" t="str">
        <f aca="false">IF(OR(C16&lt;&gt;"Closed",D16="",F16=""),"",IF(AP11&gt;D16,"",AO76*Loans!C7/12))</f>
        <v/>
      </c>
      <c r="AQ16" s="15" t="str">
        <f aca="false">IF(OR(C16&lt;&gt;"Closed",D16="",F16=""),"",IF(AQ11&gt;D16,"",AP76*Loans!C7/12))</f>
        <v/>
      </c>
      <c r="AR16" s="15" t="str">
        <f aca="false">IF(OR(C16&lt;&gt;"Closed",D16="",F16=""),"",IF(AR11&gt;D16,"",AQ76*Loans!C7/12))</f>
        <v/>
      </c>
      <c r="AS16" s="15" t="str">
        <f aca="false">IF(OR(C16&lt;&gt;"Closed",D16="",F16=""),"",IF(AS11&gt;D16,"",AR76*Loans!C7/12))</f>
        <v/>
      </c>
      <c r="AT16" s="15" t="str">
        <f aca="false">IF(OR(C16&lt;&gt;"Closed",D16="",F16=""),"",IF(AT11&gt;D16,"",AS76*Loans!C7/12))</f>
        <v/>
      </c>
      <c r="AU16" s="15" t="str">
        <f aca="false">IF(OR(C16&lt;&gt;"Closed",D16="",F16=""),"",IF(AU11&gt;D16,"",AT76*Loans!C7/12))</f>
        <v/>
      </c>
      <c r="AV16" s="15" t="str">
        <f aca="false">IF(OR(C16&lt;&gt;"Closed",D16="",F16=""),"",IF(AV11&gt;D16,"",AU76*Loans!C7/12))</f>
        <v/>
      </c>
      <c r="AW16" s="15" t="str">
        <f aca="false">IF(OR(C16&lt;&gt;"Closed",D16="",F16=""),"",IF(AW11&gt;D16,"",AV76*Loans!C7/12))</f>
        <v/>
      </c>
      <c r="AX16" s="15" t="str">
        <f aca="false">IF(OR(C16&lt;&gt;"Closed",D16="",F16=""),"",IF(AX11&gt;D16,"",AW76*Loans!C7/12))</f>
        <v/>
      </c>
      <c r="AY16" s="15" t="str">
        <f aca="false">IF(OR(C16&lt;&gt;"Closed",D16="",F16=""),"",IF(AY11&gt;D16,"",AX76*Loans!C7/12))</f>
        <v/>
      </c>
      <c r="AZ16" s="15" t="str">
        <f aca="false">IF(OR(C16&lt;&gt;"Closed",D16="",F16=""),"",IF(AZ11&gt;D16,"",AY76*Loans!C7/12))</f>
        <v/>
      </c>
      <c r="BA16" s="15" t="str">
        <f aca="false">IF(OR(C16&lt;&gt;"Closed",D16="",F16=""),"",IF(BA11&gt;D16,"",AZ76*Loans!C7/12))</f>
        <v/>
      </c>
      <c r="BB16" s="15" t="str">
        <f aca="false">IF(OR(C16&lt;&gt;"Closed",D16="",F16=""),"",IF(BB11&gt;D16,"",BA76*Loans!C7/12))</f>
        <v/>
      </c>
      <c r="BC16" s="15" t="str">
        <f aca="false">IF(OR(C16&lt;&gt;"Closed",D16="",F16=""),"",IF(BC11&gt;D16,"",BB76*Loans!C7/12))</f>
        <v/>
      </c>
      <c r="BD16" s="15" t="str">
        <f aca="false">IF(OR(C16&lt;&gt;"Closed",D16="",F16=""),"",IF(BD11&gt;D16,"",BC76*Loans!C7/12))</f>
        <v/>
      </c>
      <c r="BE16" s="15" t="str">
        <f aca="false">IF(OR(C16&lt;&gt;"Closed",D16="",F16=""),"",IF(BE11&gt;D16,"",BD76*Loans!C7/12))</f>
        <v/>
      </c>
      <c r="BF16" s="15" t="str">
        <f aca="false">IF(OR(C16&lt;&gt;"Closed",D16="",F16=""),"",IF(BF11&gt;D16,"",BE76*Loans!C7/12))</f>
        <v/>
      </c>
      <c r="BG16" s="15" t="str">
        <f aca="false">IF(OR(C16&lt;&gt;"Closed",D16="",F16=""),"",IF(BG11&gt;D16,"",BF76*Loans!C7/12))</f>
        <v/>
      </c>
      <c r="BH16" s="15" t="str">
        <f aca="false">IF(OR(C16&lt;&gt;"Closed",D16="",F16=""),"",IF(BH11&gt;D16,"",BG76*Loans!C7/12))</f>
        <v/>
      </c>
      <c r="BI16" s="15" t="str">
        <f aca="false">IF(OR(C16&lt;&gt;"Closed",D16="",F16=""),"",IF(BI11&gt;D16,"",BH76*Loans!C7/12))</f>
        <v/>
      </c>
      <c r="BJ16" s="15" t="str">
        <f aca="false">IF(OR(C16&lt;&gt;"Closed",D16="",F16=""),"",IF(BJ11&gt;D16,"",BI76*Loans!C7/12))</f>
        <v/>
      </c>
      <c r="BK16" s="15" t="str">
        <f aca="false">IF(OR(C16&lt;&gt;"Closed",D16="",F16=""),"",IF(BK11&gt;D16,"",BJ76*Loans!C7/12))</f>
        <v/>
      </c>
      <c r="BL16" s="15" t="str">
        <f aca="false">IF(OR(C16&lt;&gt;"Closed",D16="",F16=""),"",IF(BL11&gt;D16,"",BK76*Loans!C7/12))</f>
        <v/>
      </c>
      <c r="BM16" s="15" t="str">
        <f aca="false">IF(OR(C16&lt;&gt;"Closed",D16="",F16=""),"",IF(BM11&gt;D16,"",BL76*Loans!C7/12))</f>
        <v/>
      </c>
      <c r="BN16" s="15" t="str">
        <f aca="false">IF(OR(C16&lt;&gt;"Closed",D16="",F16=""),"",IF(BN11&gt;D16,"",BM76*Loans!C7/12))</f>
        <v/>
      </c>
      <c r="BO16" s="15" t="str">
        <f aca="false">IF(OR(C16&lt;&gt;"Closed",D16="",F16=""),"",IF(BO11&gt;D16,"",BN76*Loans!C7/12))</f>
        <v/>
      </c>
      <c r="BP16" s="15" t="str">
        <f aca="false">IF(OR(C16&lt;&gt;"Closed",D16="",F16=""),"",IF(BP11&gt;D16,"",BO76*Loans!C7/12))</f>
        <v/>
      </c>
    </row>
    <row r="17" customFormat="false" ht="15" hidden="false" customHeight="false" outlineLevel="0" collapsed="false">
      <c r="A17" s="29" t="str">
        <f aca="false">IF(Loans!A17="","",Loans!A17)</f>
        <v/>
      </c>
      <c r="B17" s="29" t="str">
        <f aca="false">IF(Loans!B17="","",Loans!B17)</f>
        <v/>
      </c>
      <c r="C17" s="29" t="str">
        <f aca="false">IF(Loans!C17="","",Loans!C17)</f>
        <v/>
      </c>
      <c r="D17" s="16" t="str">
        <f aca="false">IF(Loans!I17="","",Loans!I17)</f>
        <v/>
      </c>
      <c r="E17" s="17" t="str">
        <f aca="false">IF(Loans!E17="","",Loans!E17)</f>
        <v/>
      </c>
      <c r="F17" s="15" t="str">
        <f aca="false">IF(Loans!F17="","",Loans!F17)</f>
        <v/>
      </c>
      <c r="G17" s="15" t="str">
        <f aca="false">IF(OR(C17&lt;&gt;"Closed",D17="",F17=""),"",PMT(Loans!C7/12,D17,-F17))</f>
        <v/>
      </c>
      <c r="H17" s="15" t="str">
        <f aca="false">IF(C17&lt;&gt;"Closed","",SUM(I17:BP17))</f>
        <v/>
      </c>
      <c r="I17" s="15" t="str">
        <f aca="false">IF(OR(C17&lt;&gt;"Closed",D17="",F17=""),"",IF(I11&gt;D17,"",F17*Loans!C7/12))</f>
        <v/>
      </c>
      <c r="J17" s="15" t="str">
        <f aca="false">IF(OR(C17&lt;&gt;"Closed",D17="",F17=""),"",IF(J11&gt;D17,"",I77*Loans!C7/12))</f>
        <v/>
      </c>
      <c r="K17" s="15" t="str">
        <f aca="false">IF(OR(C17&lt;&gt;"Closed",D17="",F17=""),"",IF(K11&gt;D17,"",J77*Loans!C7/12))</f>
        <v/>
      </c>
      <c r="L17" s="15" t="str">
        <f aca="false">IF(OR(C17&lt;&gt;"Closed",D17="",F17=""),"",IF(L11&gt;D17,"",K77*Loans!C7/12))</f>
        <v/>
      </c>
      <c r="M17" s="15" t="str">
        <f aca="false">IF(OR(C17&lt;&gt;"Closed",D17="",F17=""),"",IF(M11&gt;D17,"",L77*Loans!C7/12))</f>
        <v/>
      </c>
      <c r="N17" s="15" t="str">
        <f aca="false">IF(OR(C17&lt;&gt;"Closed",D17="",F17=""),"",IF(N11&gt;D17,"",M77*Loans!C7/12))</f>
        <v/>
      </c>
      <c r="O17" s="15" t="str">
        <f aca="false">IF(OR(C17&lt;&gt;"Closed",D17="",F17=""),"",IF(O11&gt;D17,"",N77*Loans!C7/12))</f>
        <v/>
      </c>
      <c r="P17" s="15" t="str">
        <f aca="false">IF(OR(C17&lt;&gt;"Closed",D17="",F17=""),"",IF(P11&gt;D17,"",O77*Loans!C7/12))</f>
        <v/>
      </c>
      <c r="Q17" s="15" t="str">
        <f aca="false">IF(OR(C17&lt;&gt;"Closed",D17="",F17=""),"",IF(Q11&gt;D17,"",P77*Loans!C7/12))</f>
        <v/>
      </c>
      <c r="R17" s="15" t="str">
        <f aca="false">IF(OR(C17&lt;&gt;"Closed",D17="",F17=""),"",IF(R11&gt;D17,"",Q77*Loans!C7/12))</f>
        <v/>
      </c>
      <c r="S17" s="15" t="str">
        <f aca="false">IF(OR(C17&lt;&gt;"Closed",D17="",F17=""),"",IF(S11&gt;D17,"",R77*Loans!C7/12))</f>
        <v/>
      </c>
      <c r="T17" s="15" t="str">
        <f aca="false">IF(OR(C17&lt;&gt;"Closed",D17="",F17=""),"",IF(T11&gt;D17,"",S77*Loans!C7/12))</f>
        <v/>
      </c>
      <c r="U17" s="15" t="str">
        <f aca="false">IF(OR(C17&lt;&gt;"Closed",D17="",F17=""),"",IF(U11&gt;D17,"",T77*Loans!C7/12))</f>
        <v/>
      </c>
      <c r="V17" s="15" t="str">
        <f aca="false">IF(OR(C17&lt;&gt;"Closed",D17="",F17=""),"",IF(V11&gt;D17,"",U77*Loans!C7/12))</f>
        <v/>
      </c>
      <c r="W17" s="15" t="str">
        <f aca="false">IF(OR(C17&lt;&gt;"Closed",D17="",F17=""),"",IF(W11&gt;D17,"",V77*Loans!C7/12))</f>
        <v/>
      </c>
      <c r="X17" s="15" t="str">
        <f aca="false">IF(OR(C17&lt;&gt;"Closed",D17="",F17=""),"",IF(X11&gt;D17,"",W77*Loans!C7/12))</f>
        <v/>
      </c>
      <c r="Y17" s="15" t="str">
        <f aca="false">IF(OR(C17&lt;&gt;"Closed",D17="",F17=""),"",IF(Y11&gt;D17,"",X77*Loans!C7/12))</f>
        <v/>
      </c>
      <c r="Z17" s="15" t="str">
        <f aca="false">IF(OR(C17&lt;&gt;"Closed",D17="",F17=""),"",IF(Z11&gt;D17,"",Y77*Loans!C7/12))</f>
        <v/>
      </c>
      <c r="AA17" s="15" t="str">
        <f aca="false">IF(OR(C17&lt;&gt;"Closed",D17="",F17=""),"",IF(AA11&gt;D17,"",Z77*Loans!C7/12))</f>
        <v/>
      </c>
      <c r="AB17" s="15" t="str">
        <f aca="false">IF(OR(C17&lt;&gt;"Closed",D17="",F17=""),"",IF(AB11&gt;D17,"",AA77*Loans!C7/12))</f>
        <v/>
      </c>
      <c r="AC17" s="15" t="str">
        <f aca="false">IF(OR(C17&lt;&gt;"Closed",D17="",F17=""),"",IF(AC11&gt;D17,"",AB77*Loans!C7/12))</f>
        <v/>
      </c>
      <c r="AD17" s="15" t="str">
        <f aca="false">IF(OR(C17&lt;&gt;"Closed",D17="",F17=""),"",IF(AD11&gt;D17,"",AC77*Loans!C7/12))</f>
        <v/>
      </c>
      <c r="AE17" s="15" t="str">
        <f aca="false">IF(OR(C17&lt;&gt;"Closed",D17="",F17=""),"",IF(AE11&gt;D17,"",AD77*Loans!C7/12))</f>
        <v/>
      </c>
      <c r="AF17" s="15" t="str">
        <f aca="false">IF(OR(C17&lt;&gt;"Closed",D17="",F17=""),"",IF(AF11&gt;D17,"",AE77*Loans!C7/12))</f>
        <v/>
      </c>
      <c r="AG17" s="15" t="str">
        <f aca="false">IF(OR(C17&lt;&gt;"Closed",D17="",F17=""),"",IF(AG11&gt;D17,"",AF77*Loans!C7/12))</f>
        <v/>
      </c>
      <c r="AH17" s="15" t="str">
        <f aca="false">IF(OR(C17&lt;&gt;"Closed",D17="",F17=""),"",IF(AH11&gt;D17,"",AG77*Loans!C7/12))</f>
        <v/>
      </c>
      <c r="AI17" s="15" t="str">
        <f aca="false">IF(OR(C17&lt;&gt;"Closed",D17="",F17=""),"",IF(AI11&gt;D17,"",AH77*Loans!C7/12))</f>
        <v/>
      </c>
      <c r="AJ17" s="15" t="str">
        <f aca="false">IF(OR(C17&lt;&gt;"Closed",D17="",F17=""),"",IF(AJ11&gt;D17,"",AI77*Loans!C7/12))</f>
        <v/>
      </c>
      <c r="AK17" s="15" t="str">
        <f aca="false">IF(OR(C17&lt;&gt;"Closed",D17="",F17=""),"",IF(AK11&gt;D17,"",AJ77*Loans!C7/12))</f>
        <v/>
      </c>
      <c r="AL17" s="15" t="str">
        <f aca="false">IF(OR(C17&lt;&gt;"Closed",D17="",F17=""),"",IF(AL11&gt;D17,"",AK77*Loans!C7/12))</f>
        <v/>
      </c>
      <c r="AM17" s="15" t="str">
        <f aca="false">IF(OR(C17&lt;&gt;"Closed",D17="",F17=""),"",IF(AM11&gt;D17,"",AL77*Loans!C7/12))</f>
        <v/>
      </c>
      <c r="AN17" s="15" t="str">
        <f aca="false">IF(OR(C17&lt;&gt;"Closed",D17="",F17=""),"",IF(AN11&gt;D17,"",AM77*Loans!C7/12))</f>
        <v/>
      </c>
      <c r="AO17" s="15" t="str">
        <f aca="false">IF(OR(C17&lt;&gt;"Closed",D17="",F17=""),"",IF(AO11&gt;D17,"",AN77*Loans!C7/12))</f>
        <v/>
      </c>
      <c r="AP17" s="15" t="str">
        <f aca="false">IF(OR(C17&lt;&gt;"Closed",D17="",F17=""),"",IF(AP11&gt;D17,"",AO77*Loans!C7/12))</f>
        <v/>
      </c>
      <c r="AQ17" s="15" t="str">
        <f aca="false">IF(OR(C17&lt;&gt;"Closed",D17="",F17=""),"",IF(AQ11&gt;D17,"",AP77*Loans!C7/12))</f>
        <v/>
      </c>
      <c r="AR17" s="15" t="str">
        <f aca="false">IF(OR(C17&lt;&gt;"Closed",D17="",F17=""),"",IF(AR11&gt;D17,"",AQ77*Loans!C7/12))</f>
        <v/>
      </c>
      <c r="AS17" s="15" t="str">
        <f aca="false">IF(OR(C17&lt;&gt;"Closed",D17="",F17=""),"",IF(AS11&gt;D17,"",AR77*Loans!C7/12))</f>
        <v/>
      </c>
      <c r="AT17" s="15" t="str">
        <f aca="false">IF(OR(C17&lt;&gt;"Closed",D17="",F17=""),"",IF(AT11&gt;D17,"",AS77*Loans!C7/12))</f>
        <v/>
      </c>
      <c r="AU17" s="15" t="str">
        <f aca="false">IF(OR(C17&lt;&gt;"Closed",D17="",F17=""),"",IF(AU11&gt;D17,"",AT77*Loans!C7/12))</f>
        <v/>
      </c>
      <c r="AV17" s="15" t="str">
        <f aca="false">IF(OR(C17&lt;&gt;"Closed",D17="",F17=""),"",IF(AV11&gt;D17,"",AU77*Loans!C7/12))</f>
        <v/>
      </c>
      <c r="AW17" s="15" t="str">
        <f aca="false">IF(OR(C17&lt;&gt;"Closed",D17="",F17=""),"",IF(AW11&gt;D17,"",AV77*Loans!C7/12))</f>
        <v/>
      </c>
      <c r="AX17" s="15" t="str">
        <f aca="false">IF(OR(C17&lt;&gt;"Closed",D17="",F17=""),"",IF(AX11&gt;D17,"",AW77*Loans!C7/12))</f>
        <v/>
      </c>
      <c r="AY17" s="15" t="str">
        <f aca="false">IF(OR(C17&lt;&gt;"Closed",D17="",F17=""),"",IF(AY11&gt;D17,"",AX77*Loans!C7/12))</f>
        <v/>
      </c>
      <c r="AZ17" s="15" t="str">
        <f aca="false">IF(OR(C17&lt;&gt;"Closed",D17="",F17=""),"",IF(AZ11&gt;D17,"",AY77*Loans!C7/12))</f>
        <v/>
      </c>
      <c r="BA17" s="15" t="str">
        <f aca="false">IF(OR(C17&lt;&gt;"Closed",D17="",F17=""),"",IF(BA11&gt;D17,"",AZ77*Loans!C7/12))</f>
        <v/>
      </c>
      <c r="BB17" s="15" t="str">
        <f aca="false">IF(OR(C17&lt;&gt;"Closed",D17="",F17=""),"",IF(BB11&gt;D17,"",BA77*Loans!C7/12))</f>
        <v/>
      </c>
      <c r="BC17" s="15" t="str">
        <f aca="false">IF(OR(C17&lt;&gt;"Closed",D17="",F17=""),"",IF(BC11&gt;D17,"",BB77*Loans!C7/12))</f>
        <v/>
      </c>
      <c r="BD17" s="15" t="str">
        <f aca="false">IF(OR(C17&lt;&gt;"Closed",D17="",F17=""),"",IF(BD11&gt;D17,"",BC77*Loans!C7/12))</f>
        <v/>
      </c>
      <c r="BE17" s="15" t="str">
        <f aca="false">IF(OR(C17&lt;&gt;"Closed",D17="",F17=""),"",IF(BE11&gt;D17,"",BD77*Loans!C7/12))</f>
        <v/>
      </c>
      <c r="BF17" s="15" t="str">
        <f aca="false">IF(OR(C17&lt;&gt;"Closed",D17="",F17=""),"",IF(BF11&gt;D17,"",BE77*Loans!C7/12))</f>
        <v/>
      </c>
      <c r="BG17" s="15" t="str">
        <f aca="false">IF(OR(C17&lt;&gt;"Closed",D17="",F17=""),"",IF(BG11&gt;D17,"",BF77*Loans!C7/12))</f>
        <v/>
      </c>
      <c r="BH17" s="15" t="str">
        <f aca="false">IF(OR(C17&lt;&gt;"Closed",D17="",F17=""),"",IF(BH11&gt;D17,"",BG77*Loans!C7/12))</f>
        <v/>
      </c>
      <c r="BI17" s="15" t="str">
        <f aca="false">IF(OR(C17&lt;&gt;"Closed",D17="",F17=""),"",IF(BI11&gt;D17,"",BH77*Loans!C7/12))</f>
        <v/>
      </c>
      <c r="BJ17" s="15" t="str">
        <f aca="false">IF(OR(C17&lt;&gt;"Closed",D17="",F17=""),"",IF(BJ11&gt;D17,"",BI77*Loans!C7/12))</f>
        <v/>
      </c>
      <c r="BK17" s="15" t="str">
        <f aca="false">IF(OR(C17&lt;&gt;"Closed",D17="",F17=""),"",IF(BK11&gt;D17,"",BJ77*Loans!C7/12))</f>
        <v/>
      </c>
      <c r="BL17" s="15" t="str">
        <f aca="false">IF(OR(C17&lt;&gt;"Closed",D17="",F17=""),"",IF(BL11&gt;D17,"",BK77*Loans!C7/12))</f>
        <v/>
      </c>
      <c r="BM17" s="15" t="str">
        <f aca="false">IF(OR(C17&lt;&gt;"Closed",D17="",F17=""),"",IF(BM11&gt;D17,"",BL77*Loans!C7/12))</f>
        <v/>
      </c>
      <c r="BN17" s="15" t="str">
        <f aca="false">IF(OR(C17&lt;&gt;"Closed",D17="",F17=""),"",IF(BN11&gt;D17,"",BM77*Loans!C7/12))</f>
        <v/>
      </c>
      <c r="BO17" s="15" t="str">
        <f aca="false">IF(OR(C17&lt;&gt;"Closed",D17="",F17=""),"",IF(BO11&gt;D17,"",BN77*Loans!C7/12))</f>
        <v/>
      </c>
      <c r="BP17" s="15" t="str">
        <f aca="false">IF(OR(C17&lt;&gt;"Closed",D17="",F17=""),"",IF(BP11&gt;D17,"",BO77*Loans!C7/12))</f>
        <v/>
      </c>
    </row>
    <row r="18" customFormat="false" ht="15" hidden="false" customHeight="false" outlineLevel="0" collapsed="false">
      <c r="A18" s="29" t="str">
        <f aca="false">IF(Loans!A18="","",Loans!A18)</f>
        <v/>
      </c>
      <c r="B18" s="29" t="str">
        <f aca="false">IF(Loans!B18="","",Loans!B18)</f>
        <v/>
      </c>
      <c r="C18" s="29" t="str">
        <f aca="false">IF(Loans!C18="","",Loans!C18)</f>
        <v/>
      </c>
      <c r="D18" s="16" t="str">
        <f aca="false">IF(Loans!I18="","",Loans!I18)</f>
        <v/>
      </c>
      <c r="E18" s="17" t="str">
        <f aca="false">IF(Loans!E18="","",Loans!E18)</f>
        <v/>
      </c>
      <c r="F18" s="15" t="str">
        <f aca="false">IF(Loans!F18="","",Loans!F18)</f>
        <v/>
      </c>
      <c r="G18" s="15" t="str">
        <f aca="false">IF(OR(C18&lt;&gt;"Closed",D18="",F18=""),"",PMT(Loans!C7/12,D18,-F18))</f>
        <v/>
      </c>
      <c r="H18" s="15" t="str">
        <f aca="false">IF(C18&lt;&gt;"Closed","",SUM(I18:BP18))</f>
        <v/>
      </c>
      <c r="I18" s="15" t="str">
        <f aca="false">IF(OR(C18&lt;&gt;"Closed",D18="",F18=""),"",IF(I11&gt;D18,"",F18*Loans!C7/12))</f>
        <v/>
      </c>
      <c r="J18" s="15" t="str">
        <f aca="false">IF(OR(C18&lt;&gt;"Closed",D18="",F18=""),"",IF(J11&gt;D18,"",I78*Loans!C7/12))</f>
        <v/>
      </c>
      <c r="K18" s="15" t="str">
        <f aca="false">IF(OR(C18&lt;&gt;"Closed",D18="",F18=""),"",IF(K11&gt;D18,"",J78*Loans!C7/12))</f>
        <v/>
      </c>
      <c r="L18" s="15" t="str">
        <f aca="false">IF(OR(C18&lt;&gt;"Closed",D18="",F18=""),"",IF(L11&gt;D18,"",K78*Loans!C7/12))</f>
        <v/>
      </c>
      <c r="M18" s="15" t="str">
        <f aca="false">IF(OR(C18&lt;&gt;"Closed",D18="",F18=""),"",IF(M11&gt;D18,"",L78*Loans!C7/12))</f>
        <v/>
      </c>
      <c r="N18" s="15" t="str">
        <f aca="false">IF(OR(C18&lt;&gt;"Closed",D18="",F18=""),"",IF(N11&gt;D18,"",M78*Loans!C7/12))</f>
        <v/>
      </c>
      <c r="O18" s="15" t="str">
        <f aca="false">IF(OR(C18&lt;&gt;"Closed",D18="",F18=""),"",IF(O11&gt;D18,"",N78*Loans!C7/12))</f>
        <v/>
      </c>
      <c r="P18" s="15" t="str">
        <f aca="false">IF(OR(C18&lt;&gt;"Closed",D18="",F18=""),"",IF(P11&gt;D18,"",O78*Loans!C7/12))</f>
        <v/>
      </c>
      <c r="Q18" s="15" t="str">
        <f aca="false">IF(OR(C18&lt;&gt;"Closed",D18="",F18=""),"",IF(Q11&gt;D18,"",P78*Loans!C7/12))</f>
        <v/>
      </c>
      <c r="R18" s="15" t="str">
        <f aca="false">IF(OR(C18&lt;&gt;"Closed",D18="",F18=""),"",IF(R11&gt;D18,"",Q78*Loans!C7/12))</f>
        <v/>
      </c>
      <c r="S18" s="15" t="str">
        <f aca="false">IF(OR(C18&lt;&gt;"Closed",D18="",F18=""),"",IF(S11&gt;D18,"",R78*Loans!C7/12))</f>
        <v/>
      </c>
      <c r="T18" s="15" t="str">
        <f aca="false">IF(OR(C18&lt;&gt;"Closed",D18="",F18=""),"",IF(T11&gt;D18,"",S78*Loans!C7/12))</f>
        <v/>
      </c>
      <c r="U18" s="15" t="str">
        <f aca="false">IF(OR(C18&lt;&gt;"Closed",D18="",F18=""),"",IF(U11&gt;D18,"",T78*Loans!C7/12))</f>
        <v/>
      </c>
      <c r="V18" s="15" t="str">
        <f aca="false">IF(OR(C18&lt;&gt;"Closed",D18="",F18=""),"",IF(V11&gt;D18,"",U78*Loans!C7/12))</f>
        <v/>
      </c>
      <c r="W18" s="15" t="str">
        <f aca="false">IF(OR(C18&lt;&gt;"Closed",D18="",F18=""),"",IF(W11&gt;D18,"",V78*Loans!C7/12))</f>
        <v/>
      </c>
      <c r="X18" s="15" t="str">
        <f aca="false">IF(OR(C18&lt;&gt;"Closed",D18="",F18=""),"",IF(X11&gt;D18,"",W78*Loans!C7/12))</f>
        <v/>
      </c>
      <c r="Y18" s="15" t="str">
        <f aca="false">IF(OR(C18&lt;&gt;"Closed",D18="",F18=""),"",IF(Y11&gt;D18,"",X78*Loans!C7/12))</f>
        <v/>
      </c>
      <c r="Z18" s="15" t="str">
        <f aca="false">IF(OR(C18&lt;&gt;"Closed",D18="",F18=""),"",IF(Z11&gt;D18,"",Y78*Loans!C7/12))</f>
        <v/>
      </c>
      <c r="AA18" s="15" t="str">
        <f aca="false">IF(OR(C18&lt;&gt;"Closed",D18="",F18=""),"",IF(AA11&gt;D18,"",Z78*Loans!C7/12))</f>
        <v/>
      </c>
      <c r="AB18" s="15" t="str">
        <f aca="false">IF(OR(C18&lt;&gt;"Closed",D18="",F18=""),"",IF(AB11&gt;D18,"",AA78*Loans!C7/12))</f>
        <v/>
      </c>
      <c r="AC18" s="15" t="str">
        <f aca="false">IF(OR(C18&lt;&gt;"Closed",D18="",F18=""),"",IF(AC11&gt;D18,"",AB78*Loans!C7/12))</f>
        <v/>
      </c>
      <c r="AD18" s="15" t="str">
        <f aca="false">IF(OR(C18&lt;&gt;"Closed",D18="",F18=""),"",IF(AD11&gt;D18,"",AC78*Loans!C7/12))</f>
        <v/>
      </c>
      <c r="AE18" s="15" t="str">
        <f aca="false">IF(OR(C18&lt;&gt;"Closed",D18="",F18=""),"",IF(AE11&gt;D18,"",AD78*Loans!C7/12))</f>
        <v/>
      </c>
      <c r="AF18" s="15" t="str">
        <f aca="false">IF(OR(C18&lt;&gt;"Closed",D18="",F18=""),"",IF(AF11&gt;D18,"",AE78*Loans!C7/12))</f>
        <v/>
      </c>
      <c r="AG18" s="15" t="str">
        <f aca="false">IF(OR(C18&lt;&gt;"Closed",D18="",F18=""),"",IF(AG11&gt;D18,"",AF78*Loans!C7/12))</f>
        <v/>
      </c>
      <c r="AH18" s="15" t="str">
        <f aca="false">IF(OR(C18&lt;&gt;"Closed",D18="",F18=""),"",IF(AH11&gt;D18,"",AG78*Loans!C7/12))</f>
        <v/>
      </c>
      <c r="AI18" s="15" t="str">
        <f aca="false">IF(OR(C18&lt;&gt;"Closed",D18="",F18=""),"",IF(AI11&gt;D18,"",AH78*Loans!C7/12))</f>
        <v/>
      </c>
      <c r="AJ18" s="15" t="str">
        <f aca="false">IF(OR(C18&lt;&gt;"Closed",D18="",F18=""),"",IF(AJ11&gt;D18,"",AI78*Loans!C7/12))</f>
        <v/>
      </c>
      <c r="AK18" s="15" t="str">
        <f aca="false">IF(OR(C18&lt;&gt;"Closed",D18="",F18=""),"",IF(AK11&gt;D18,"",AJ78*Loans!C7/12))</f>
        <v/>
      </c>
      <c r="AL18" s="15" t="str">
        <f aca="false">IF(OR(C18&lt;&gt;"Closed",D18="",F18=""),"",IF(AL11&gt;D18,"",AK78*Loans!C7/12))</f>
        <v/>
      </c>
      <c r="AM18" s="15" t="str">
        <f aca="false">IF(OR(C18&lt;&gt;"Closed",D18="",F18=""),"",IF(AM11&gt;D18,"",AL78*Loans!C7/12))</f>
        <v/>
      </c>
      <c r="AN18" s="15" t="str">
        <f aca="false">IF(OR(C18&lt;&gt;"Closed",D18="",F18=""),"",IF(AN11&gt;D18,"",AM78*Loans!C7/12))</f>
        <v/>
      </c>
      <c r="AO18" s="15" t="str">
        <f aca="false">IF(OR(C18&lt;&gt;"Closed",D18="",F18=""),"",IF(AO11&gt;D18,"",AN78*Loans!C7/12))</f>
        <v/>
      </c>
      <c r="AP18" s="15" t="str">
        <f aca="false">IF(OR(C18&lt;&gt;"Closed",D18="",F18=""),"",IF(AP11&gt;D18,"",AO78*Loans!C7/12))</f>
        <v/>
      </c>
      <c r="AQ18" s="15" t="str">
        <f aca="false">IF(OR(C18&lt;&gt;"Closed",D18="",F18=""),"",IF(AQ11&gt;D18,"",AP78*Loans!C7/12))</f>
        <v/>
      </c>
      <c r="AR18" s="15" t="str">
        <f aca="false">IF(OR(C18&lt;&gt;"Closed",D18="",F18=""),"",IF(AR11&gt;D18,"",AQ78*Loans!C7/12))</f>
        <v/>
      </c>
      <c r="AS18" s="15" t="str">
        <f aca="false">IF(OR(C18&lt;&gt;"Closed",D18="",F18=""),"",IF(AS11&gt;D18,"",AR78*Loans!C7/12))</f>
        <v/>
      </c>
      <c r="AT18" s="15" t="str">
        <f aca="false">IF(OR(C18&lt;&gt;"Closed",D18="",F18=""),"",IF(AT11&gt;D18,"",AS78*Loans!C7/12))</f>
        <v/>
      </c>
      <c r="AU18" s="15" t="str">
        <f aca="false">IF(OR(C18&lt;&gt;"Closed",D18="",F18=""),"",IF(AU11&gt;D18,"",AT78*Loans!C7/12))</f>
        <v/>
      </c>
      <c r="AV18" s="15" t="str">
        <f aca="false">IF(OR(C18&lt;&gt;"Closed",D18="",F18=""),"",IF(AV11&gt;D18,"",AU78*Loans!C7/12))</f>
        <v/>
      </c>
      <c r="AW18" s="15" t="str">
        <f aca="false">IF(OR(C18&lt;&gt;"Closed",D18="",F18=""),"",IF(AW11&gt;D18,"",AV78*Loans!C7/12))</f>
        <v/>
      </c>
      <c r="AX18" s="15" t="str">
        <f aca="false">IF(OR(C18&lt;&gt;"Closed",D18="",F18=""),"",IF(AX11&gt;D18,"",AW78*Loans!C7/12))</f>
        <v/>
      </c>
      <c r="AY18" s="15" t="str">
        <f aca="false">IF(OR(C18&lt;&gt;"Closed",D18="",F18=""),"",IF(AY11&gt;D18,"",AX78*Loans!C7/12))</f>
        <v/>
      </c>
      <c r="AZ18" s="15" t="str">
        <f aca="false">IF(OR(C18&lt;&gt;"Closed",D18="",F18=""),"",IF(AZ11&gt;D18,"",AY78*Loans!C7/12))</f>
        <v/>
      </c>
      <c r="BA18" s="15" t="str">
        <f aca="false">IF(OR(C18&lt;&gt;"Closed",D18="",F18=""),"",IF(BA11&gt;D18,"",AZ78*Loans!C7/12))</f>
        <v/>
      </c>
      <c r="BB18" s="15" t="str">
        <f aca="false">IF(OR(C18&lt;&gt;"Closed",D18="",F18=""),"",IF(BB11&gt;D18,"",BA78*Loans!C7/12))</f>
        <v/>
      </c>
      <c r="BC18" s="15" t="str">
        <f aca="false">IF(OR(C18&lt;&gt;"Closed",D18="",F18=""),"",IF(BC11&gt;D18,"",BB78*Loans!C7/12))</f>
        <v/>
      </c>
      <c r="BD18" s="15" t="str">
        <f aca="false">IF(OR(C18&lt;&gt;"Closed",D18="",F18=""),"",IF(BD11&gt;D18,"",BC78*Loans!C7/12))</f>
        <v/>
      </c>
      <c r="BE18" s="15" t="str">
        <f aca="false">IF(OR(C18&lt;&gt;"Closed",D18="",F18=""),"",IF(BE11&gt;D18,"",BD78*Loans!C7/12))</f>
        <v/>
      </c>
      <c r="BF18" s="15" t="str">
        <f aca="false">IF(OR(C18&lt;&gt;"Closed",D18="",F18=""),"",IF(BF11&gt;D18,"",BE78*Loans!C7/12))</f>
        <v/>
      </c>
      <c r="BG18" s="15" t="str">
        <f aca="false">IF(OR(C18&lt;&gt;"Closed",D18="",F18=""),"",IF(BG11&gt;D18,"",BF78*Loans!C7/12))</f>
        <v/>
      </c>
      <c r="BH18" s="15" t="str">
        <f aca="false">IF(OR(C18&lt;&gt;"Closed",D18="",F18=""),"",IF(BH11&gt;D18,"",BG78*Loans!C7/12))</f>
        <v/>
      </c>
      <c r="BI18" s="15" t="str">
        <f aca="false">IF(OR(C18&lt;&gt;"Closed",D18="",F18=""),"",IF(BI11&gt;D18,"",BH78*Loans!C7/12))</f>
        <v/>
      </c>
      <c r="BJ18" s="15" t="str">
        <f aca="false">IF(OR(C18&lt;&gt;"Closed",D18="",F18=""),"",IF(BJ11&gt;D18,"",BI78*Loans!C7/12))</f>
        <v/>
      </c>
      <c r="BK18" s="15" t="str">
        <f aca="false">IF(OR(C18&lt;&gt;"Closed",D18="",F18=""),"",IF(BK11&gt;D18,"",BJ78*Loans!C7/12))</f>
        <v/>
      </c>
      <c r="BL18" s="15" t="str">
        <f aca="false">IF(OR(C18&lt;&gt;"Closed",D18="",F18=""),"",IF(BL11&gt;D18,"",BK78*Loans!C7/12))</f>
        <v/>
      </c>
      <c r="BM18" s="15" t="str">
        <f aca="false">IF(OR(C18&lt;&gt;"Closed",D18="",F18=""),"",IF(BM11&gt;D18,"",BL78*Loans!C7/12))</f>
        <v/>
      </c>
      <c r="BN18" s="15" t="str">
        <f aca="false">IF(OR(C18&lt;&gt;"Closed",D18="",F18=""),"",IF(BN11&gt;D18,"",BM78*Loans!C7/12))</f>
        <v/>
      </c>
      <c r="BO18" s="15" t="str">
        <f aca="false">IF(OR(C18&lt;&gt;"Closed",D18="",F18=""),"",IF(BO11&gt;D18,"",BN78*Loans!C7/12))</f>
        <v/>
      </c>
      <c r="BP18" s="15" t="str">
        <f aca="false">IF(OR(C18&lt;&gt;"Closed",D18="",F18=""),"",IF(BP11&gt;D18,"",BO78*Loans!C7/12))</f>
        <v/>
      </c>
    </row>
    <row r="19" customFormat="false" ht="15" hidden="false" customHeight="false" outlineLevel="0" collapsed="false">
      <c r="A19" s="29" t="str">
        <f aca="false">IF(Loans!A19="","",Loans!A19)</f>
        <v/>
      </c>
      <c r="B19" s="29" t="str">
        <f aca="false">IF(Loans!B19="","",Loans!B19)</f>
        <v/>
      </c>
      <c r="C19" s="29" t="str">
        <f aca="false">IF(Loans!C19="","",Loans!C19)</f>
        <v/>
      </c>
      <c r="D19" s="16" t="str">
        <f aca="false">IF(Loans!I19="","",Loans!I19)</f>
        <v/>
      </c>
      <c r="E19" s="17" t="str">
        <f aca="false">IF(Loans!E19="","",Loans!E19)</f>
        <v/>
      </c>
      <c r="F19" s="15" t="str">
        <f aca="false">IF(Loans!F19="","",Loans!F19)</f>
        <v/>
      </c>
      <c r="G19" s="15" t="str">
        <f aca="false">IF(OR(C19&lt;&gt;"Closed",D19="",F19=""),"",PMT(Loans!C7/12,D19,-F19))</f>
        <v/>
      </c>
      <c r="H19" s="15" t="str">
        <f aca="false">IF(C19&lt;&gt;"Closed","",SUM(I19:BP19))</f>
        <v/>
      </c>
      <c r="I19" s="15" t="str">
        <f aca="false">IF(OR(C19&lt;&gt;"Closed",D19="",F19=""),"",IF(I11&gt;D19,"",F19*Loans!C7/12))</f>
        <v/>
      </c>
      <c r="J19" s="15" t="str">
        <f aca="false">IF(OR(C19&lt;&gt;"Closed",D19="",F19=""),"",IF(J11&gt;D19,"",I79*Loans!C7/12))</f>
        <v/>
      </c>
      <c r="K19" s="15" t="str">
        <f aca="false">IF(OR(C19&lt;&gt;"Closed",D19="",F19=""),"",IF(K11&gt;D19,"",J79*Loans!C7/12))</f>
        <v/>
      </c>
      <c r="L19" s="15" t="str">
        <f aca="false">IF(OR(C19&lt;&gt;"Closed",D19="",F19=""),"",IF(L11&gt;D19,"",K79*Loans!C7/12))</f>
        <v/>
      </c>
      <c r="M19" s="15" t="str">
        <f aca="false">IF(OR(C19&lt;&gt;"Closed",D19="",F19=""),"",IF(M11&gt;D19,"",L79*Loans!C7/12))</f>
        <v/>
      </c>
      <c r="N19" s="15" t="str">
        <f aca="false">IF(OR(C19&lt;&gt;"Closed",D19="",F19=""),"",IF(N11&gt;D19,"",M79*Loans!C7/12))</f>
        <v/>
      </c>
      <c r="O19" s="15" t="str">
        <f aca="false">IF(OR(C19&lt;&gt;"Closed",D19="",F19=""),"",IF(O11&gt;D19,"",N79*Loans!C7/12))</f>
        <v/>
      </c>
      <c r="P19" s="15" t="str">
        <f aca="false">IF(OR(C19&lt;&gt;"Closed",D19="",F19=""),"",IF(P11&gt;D19,"",O79*Loans!C7/12))</f>
        <v/>
      </c>
      <c r="Q19" s="15" t="str">
        <f aca="false">IF(OR(C19&lt;&gt;"Closed",D19="",F19=""),"",IF(Q11&gt;D19,"",P79*Loans!C7/12))</f>
        <v/>
      </c>
      <c r="R19" s="15" t="str">
        <f aca="false">IF(OR(C19&lt;&gt;"Closed",D19="",F19=""),"",IF(R11&gt;D19,"",Q79*Loans!C7/12))</f>
        <v/>
      </c>
      <c r="S19" s="15" t="str">
        <f aca="false">IF(OR(C19&lt;&gt;"Closed",D19="",F19=""),"",IF(S11&gt;D19,"",R79*Loans!C7/12))</f>
        <v/>
      </c>
      <c r="T19" s="15" t="str">
        <f aca="false">IF(OR(C19&lt;&gt;"Closed",D19="",F19=""),"",IF(T11&gt;D19,"",S79*Loans!C7/12))</f>
        <v/>
      </c>
      <c r="U19" s="15" t="str">
        <f aca="false">IF(OR(C19&lt;&gt;"Closed",D19="",F19=""),"",IF(U11&gt;D19,"",T79*Loans!C7/12))</f>
        <v/>
      </c>
      <c r="V19" s="15" t="str">
        <f aca="false">IF(OR(C19&lt;&gt;"Closed",D19="",F19=""),"",IF(V11&gt;D19,"",U79*Loans!C7/12))</f>
        <v/>
      </c>
      <c r="W19" s="15" t="str">
        <f aca="false">IF(OR(C19&lt;&gt;"Closed",D19="",F19=""),"",IF(W11&gt;D19,"",V79*Loans!C7/12))</f>
        <v/>
      </c>
      <c r="X19" s="15" t="str">
        <f aca="false">IF(OR(C19&lt;&gt;"Closed",D19="",F19=""),"",IF(X11&gt;D19,"",W79*Loans!C7/12))</f>
        <v/>
      </c>
      <c r="Y19" s="15" t="str">
        <f aca="false">IF(OR(C19&lt;&gt;"Closed",D19="",F19=""),"",IF(Y11&gt;D19,"",X79*Loans!C7/12))</f>
        <v/>
      </c>
      <c r="Z19" s="15" t="str">
        <f aca="false">IF(OR(C19&lt;&gt;"Closed",D19="",F19=""),"",IF(Z11&gt;D19,"",Y79*Loans!C7/12))</f>
        <v/>
      </c>
      <c r="AA19" s="15" t="str">
        <f aca="false">IF(OR(C19&lt;&gt;"Closed",D19="",F19=""),"",IF(AA11&gt;D19,"",Z79*Loans!C7/12))</f>
        <v/>
      </c>
      <c r="AB19" s="15" t="str">
        <f aca="false">IF(OR(C19&lt;&gt;"Closed",D19="",F19=""),"",IF(AB11&gt;D19,"",AA79*Loans!C7/12))</f>
        <v/>
      </c>
      <c r="AC19" s="15" t="str">
        <f aca="false">IF(OR(C19&lt;&gt;"Closed",D19="",F19=""),"",IF(AC11&gt;D19,"",AB79*Loans!C7/12))</f>
        <v/>
      </c>
      <c r="AD19" s="15" t="str">
        <f aca="false">IF(OR(C19&lt;&gt;"Closed",D19="",F19=""),"",IF(AD11&gt;D19,"",AC79*Loans!C7/12))</f>
        <v/>
      </c>
      <c r="AE19" s="15" t="str">
        <f aca="false">IF(OR(C19&lt;&gt;"Closed",D19="",F19=""),"",IF(AE11&gt;D19,"",AD79*Loans!C7/12))</f>
        <v/>
      </c>
      <c r="AF19" s="15" t="str">
        <f aca="false">IF(OR(C19&lt;&gt;"Closed",D19="",F19=""),"",IF(AF11&gt;D19,"",AE79*Loans!C7/12))</f>
        <v/>
      </c>
      <c r="AG19" s="15" t="str">
        <f aca="false">IF(OR(C19&lt;&gt;"Closed",D19="",F19=""),"",IF(AG11&gt;D19,"",AF79*Loans!C7/12))</f>
        <v/>
      </c>
      <c r="AH19" s="15" t="str">
        <f aca="false">IF(OR(C19&lt;&gt;"Closed",D19="",F19=""),"",IF(AH11&gt;D19,"",AG79*Loans!C7/12))</f>
        <v/>
      </c>
      <c r="AI19" s="15" t="str">
        <f aca="false">IF(OR(C19&lt;&gt;"Closed",D19="",F19=""),"",IF(AI11&gt;D19,"",AH79*Loans!C7/12))</f>
        <v/>
      </c>
      <c r="AJ19" s="15" t="str">
        <f aca="false">IF(OR(C19&lt;&gt;"Closed",D19="",F19=""),"",IF(AJ11&gt;D19,"",AI79*Loans!C7/12))</f>
        <v/>
      </c>
      <c r="AK19" s="15" t="str">
        <f aca="false">IF(OR(C19&lt;&gt;"Closed",D19="",F19=""),"",IF(AK11&gt;D19,"",AJ79*Loans!C7/12))</f>
        <v/>
      </c>
      <c r="AL19" s="15" t="str">
        <f aca="false">IF(OR(C19&lt;&gt;"Closed",D19="",F19=""),"",IF(AL11&gt;D19,"",AK79*Loans!C7/12))</f>
        <v/>
      </c>
      <c r="AM19" s="15" t="str">
        <f aca="false">IF(OR(C19&lt;&gt;"Closed",D19="",F19=""),"",IF(AM11&gt;D19,"",AL79*Loans!C7/12))</f>
        <v/>
      </c>
      <c r="AN19" s="15" t="str">
        <f aca="false">IF(OR(C19&lt;&gt;"Closed",D19="",F19=""),"",IF(AN11&gt;D19,"",AM79*Loans!C7/12))</f>
        <v/>
      </c>
      <c r="AO19" s="15" t="str">
        <f aca="false">IF(OR(C19&lt;&gt;"Closed",D19="",F19=""),"",IF(AO11&gt;D19,"",AN79*Loans!C7/12))</f>
        <v/>
      </c>
      <c r="AP19" s="15" t="str">
        <f aca="false">IF(OR(C19&lt;&gt;"Closed",D19="",F19=""),"",IF(AP11&gt;D19,"",AO79*Loans!C7/12))</f>
        <v/>
      </c>
      <c r="AQ19" s="15" t="str">
        <f aca="false">IF(OR(C19&lt;&gt;"Closed",D19="",F19=""),"",IF(AQ11&gt;D19,"",AP79*Loans!C7/12))</f>
        <v/>
      </c>
      <c r="AR19" s="15" t="str">
        <f aca="false">IF(OR(C19&lt;&gt;"Closed",D19="",F19=""),"",IF(AR11&gt;D19,"",AQ79*Loans!C7/12))</f>
        <v/>
      </c>
      <c r="AS19" s="15" t="str">
        <f aca="false">IF(OR(C19&lt;&gt;"Closed",D19="",F19=""),"",IF(AS11&gt;D19,"",AR79*Loans!C7/12))</f>
        <v/>
      </c>
      <c r="AT19" s="15" t="str">
        <f aca="false">IF(OR(C19&lt;&gt;"Closed",D19="",F19=""),"",IF(AT11&gt;D19,"",AS79*Loans!C7/12))</f>
        <v/>
      </c>
      <c r="AU19" s="15" t="str">
        <f aca="false">IF(OR(C19&lt;&gt;"Closed",D19="",F19=""),"",IF(AU11&gt;D19,"",AT79*Loans!C7/12))</f>
        <v/>
      </c>
      <c r="AV19" s="15" t="str">
        <f aca="false">IF(OR(C19&lt;&gt;"Closed",D19="",F19=""),"",IF(AV11&gt;D19,"",AU79*Loans!C7/12))</f>
        <v/>
      </c>
      <c r="AW19" s="15" t="str">
        <f aca="false">IF(OR(C19&lt;&gt;"Closed",D19="",F19=""),"",IF(AW11&gt;D19,"",AV79*Loans!C7/12))</f>
        <v/>
      </c>
      <c r="AX19" s="15" t="str">
        <f aca="false">IF(OR(C19&lt;&gt;"Closed",D19="",F19=""),"",IF(AX11&gt;D19,"",AW79*Loans!C7/12))</f>
        <v/>
      </c>
      <c r="AY19" s="15" t="str">
        <f aca="false">IF(OR(C19&lt;&gt;"Closed",D19="",F19=""),"",IF(AY11&gt;D19,"",AX79*Loans!C7/12))</f>
        <v/>
      </c>
      <c r="AZ19" s="15" t="str">
        <f aca="false">IF(OR(C19&lt;&gt;"Closed",D19="",F19=""),"",IF(AZ11&gt;D19,"",AY79*Loans!C7/12))</f>
        <v/>
      </c>
      <c r="BA19" s="15" t="str">
        <f aca="false">IF(OR(C19&lt;&gt;"Closed",D19="",F19=""),"",IF(BA11&gt;D19,"",AZ79*Loans!C7/12))</f>
        <v/>
      </c>
      <c r="BB19" s="15" t="str">
        <f aca="false">IF(OR(C19&lt;&gt;"Closed",D19="",F19=""),"",IF(BB11&gt;D19,"",BA79*Loans!C7/12))</f>
        <v/>
      </c>
      <c r="BC19" s="15" t="str">
        <f aca="false">IF(OR(C19&lt;&gt;"Closed",D19="",F19=""),"",IF(BC11&gt;D19,"",BB79*Loans!C7/12))</f>
        <v/>
      </c>
      <c r="BD19" s="15" t="str">
        <f aca="false">IF(OR(C19&lt;&gt;"Closed",D19="",F19=""),"",IF(BD11&gt;D19,"",BC79*Loans!C7/12))</f>
        <v/>
      </c>
      <c r="BE19" s="15" t="str">
        <f aca="false">IF(OR(C19&lt;&gt;"Closed",D19="",F19=""),"",IF(BE11&gt;D19,"",BD79*Loans!C7/12))</f>
        <v/>
      </c>
      <c r="BF19" s="15" t="str">
        <f aca="false">IF(OR(C19&lt;&gt;"Closed",D19="",F19=""),"",IF(BF11&gt;D19,"",BE79*Loans!C7/12))</f>
        <v/>
      </c>
      <c r="BG19" s="15" t="str">
        <f aca="false">IF(OR(C19&lt;&gt;"Closed",D19="",F19=""),"",IF(BG11&gt;D19,"",BF79*Loans!C7/12))</f>
        <v/>
      </c>
      <c r="BH19" s="15" t="str">
        <f aca="false">IF(OR(C19&lt;&gt;"Closed",D19="",F19=""),"",IF(BH11&gt;D19,"",BG79*Loans!C7/12))</f>
        <v/>
      </c>
      <c r="BI19" s="15" t="str">
        <f aca="false">IF(OR(C19&lt;&gt;"Closed",D19="",F19=""),"",IF(BI11&gt;D19,"",BH79*Loans!C7/12))</f>
        <v/>
      </c>
      <c r="BJ19" s="15" t="str">
        <f aca="false">IF(OR(C19&lt;&gt;"Closed",D19="",F19=""),"",IF(BJ11&gt;D19,"",BI79*Loans!C7/12))</f>
        <v/>
      </c>
      <c r="BK19" s="15" t="str">
        <f aca="false">IF(OR(C19&lt;&gt;"Closed",D19="",F19=""),"",IF(BK11&gt;D19,"",BJ79*Loans!C7/12))</f>
        <v/>
      </c>
      <c r="BL19" s="15" t="str">
        <f aca="false">IF(OR(C19&lt;&gt;"Closed",D19="",F19=""),"",IF(BL11&gt;D19,"",BK79*Loans!C7/12))</f>
        <v/>
      </c>
      <c r="BM19" s="15" t="str">
        <f aca="false">IF(OR(C19&lt;&gt;"Closed",D19="",F19=""),"",IF(BM11&gt;D19,"",BL79*Loans!C7/12))</f>
        <v/>
      </c>
      <c r="BN19" s="15" t="str">
        <f aca="false">IF(OR(C19&lt;&gt;"Closed",D19="",F19=""),"",IF(BN11&gt;D19,"",BM79*Loans!C7/12))</f>
        <v/>
      </c>
      <c r="BO19" s="15" t="str">
        <f aca="false">IF(OR(C19&lt;&gt;"Closed",D19="",F19=""),"",IF(BO11&gt;D19,"",BN79*Loans!C7/12))</f>
        <v/>
      </c>
      <c r="BP19" s="15" t="str">
        <f aca="false">IF(OR(C19&lt;&gt;"Closed",D19="",F19=""),"",IF(BP11&gt;D19,"",BO79*Loans!C7/12))</f>
        <v/>
      </c>
    </row>
    <row r="20" customFormat="false" ht="15" hidden="false" customHeight="false" outlineLevel="0" collapsed="false">
      <c r="A20" s="29" t="str">
        <f aca="false">IF(Loans!A20="","",Loans!A20)</f>
        <v/>
      </c>
      <c r="B20" s="29" t="str">
        <f aca="false">IF(Loans!B20="","",Loans!B20)</f>
        <v/>
      </c>
      <c r="C20" s="29" t="str">
        <f aca="false">IF(Loans!C20="","",Loans!C20)</f>
        <v/>
      </c>
      <c r="D20" s="16" t="str">
        <f aca="false">IF(Loans!I20="","",Loans!I20)</f>
        <v/>
      </c>
      <c r="E20" s="17" t="str">
        <f aca="false">IF(Loans!E20="","",Loans!E20)</f>
        <v/>
      </c>
      <c r="F20" s="15" t="str">
        <f aca="false">IF(Loans!F20="","",Loans!F20)</f>
        <v/>
      </c>
      <c r="G20" s="15" t="str">
        <f aca="false">IF(OR(C20&lt;&gt;"Closed",D20="",F20=""),"",PMT(Loans!C7/12,D20,-F20))</f>
        <v/>
      </c>
      <c r="H20" s="15" t="str">
        <f aca="false">IF(C20&lt;&gt;"Closed","",SUM(I20:BP20))</f>
        <v/>
      </c>
      <c r="I20" s="15" t="str">
        <f aca="false">IF(OR(C20&lt;&gt;"Closed",D20="",F20=""),"",IF(I11&gt;D20,"",F20*Loans!C7/12))</f>
        <v/>
      </c>
      <c r="J20" s="15" t="str">
        <f aca="false">IF(OR(C20&lt;&gt;"Closed",D20="",F20=""),"",IF(J11&gt;D20,"",I80*Loans!C7/12))</f>
        <v/>
      </c>
      <c r="K20" s="15" t="str">
        <f aca="false">IF(OR(C20&lt;&gt;"Closed",D20="",F20=""),"",IF(K11&gt;D20,"",J80*Loans!C7/12))</f>
        <v/>
      </c>
      <c r="L20" s="15" t="str">
        <f aca="false">IF(OR(C20&lt;&gt;"Closed",D20="",F20=""),"",IF(L11&gt;D20,"",K80*Loans!C7/12))</f>
        <v/>
      </c>
      <c r="M20" s="15" t="str">
        <f aca="false">IF(OR(C20&lt;&gt;"Closed",D20="",F20=""),"",IF(M11&gt;D20,"",L80*Loans!C7/12))</f>
        <v/>
      </c>
      <c r="N20" s="15" t="str">
        <f aca="false">IF(OR(C20&lt;&gt;"Closed",D20="",F20=""),"",IF(N11&gt;D20,"",M80*Loans!C7/12))</f>
        <v/>
      </c>
      <c r="O20" s="15" t="str">
        <f aca="false">IF(OR(C20&lt;&gt;"Closed",D20="",F20=""),"",IF(O11&gt;D20,"",N80*Loans!C7/12))</f>
        <v/>
      </c>
      <c r="P20" s="15" t="str">
        <f aca="false">IF(OR(C20&lt;&gt;"Closed",D20="",F20=""),"",IF(P11&gt;D20,"",O80*Loans!C7/12))</f>
        <v/>
      </c>
      <c r="Q20" s="15" t="str">
        <f aca="false">IF(OR(C20&lt;&gt;"Closed",D20="",F20=""),"",IF(Q11&gt;D20,"",P80*Loans!C7/12))</f>
        <v/>
      </c>
      <c r="R20" s="15" t="str">
        <f aca="false">IF(OR(C20&lt;&gt;"Closed",D20="",F20=""),"",IF(R11&gt;D20,"",Q80*Loans!C7/12))</f>
        <v/>
      </c>
      <c r="S20" s="15" t="str">
        <f aca="false">IF(OR(C20&lt;&gt;"Closed",D20="",F20=""),"",IF(S11&gt;D20,"",R80*Loans!C7/12))</f>
        <v/>
      </c>
      <c r="T20" s="15" t="str">
        <f aca="false">IF(OR(C20&lt;&gt;"Closed",D20="",F20=""),"",IF(T11&gt;D20,"",S80*Loans!C7/12))</f>
        <v/>
      </c>
      <c r="U20" s="15" t="str">
        <f aca="false">IF(OR(C20&lt;&gt;"Closed",D20="",F20=""),"",IF(U11&gt;D20,"",T80*Loans!C7/12))</f>
        <v/>
      </c>
      <c r="V20" s="15" t="str">
        <f aca="false">IF(OR(C20&lt;&gt;"Closed",D20="",F20=""),"",IF(V11&gt;D20,"",U80*Loans!C7/12))</f>
        <v/>
      </c>
      <c r="W20" s="15" t="str">
        <f aca="false">IF(OR(C20&lt;&gt;"Closed",D20="",F20=""),"",IF(W11&gt;D20,"",V80*Loans!C7/12))</f>
        <v/>
      </c>
      <c r="X20" s="15" t="str">
        <f aca="false">IF(OR(C20&lt;&gt;"Closed",D20="",F20=""),"",IF(X11&gt;D20,"",W80*Loans!C7/12))</f>
        <v/>
      </c>
      <c r="Y20" s="15" t="str">
        <f aca="false">IF(OR(C20&lt;&gt;"Closed",D20="",F20=""),"",IF(Y11&gt;D20,"",X80*Loans!C7/12))</f>
        <v/>
      </c>
      <c r="Z20" s="15" t="str">
        <f aca="false">IF(OR(C20&lt;&gt;"Closed",D20="",F20=""),"",IF(Z11&gt;D20,"",Y80*Loans!C7/12))</f>
        <v/>
      </c>
      <c r="AA20" s="15" t="str">
        <f aca="false">IF(OR(C20&lt;&gt;"Closed",D20="",F20=""),"",IF(AA11&gt;D20,"",Z80*Loans!C7/12))</f>
        <v/>
      </c>
      <c r="AB20" s="15" t="str">
        <f aca="false">IF(OR(C20&lt;&gt;"Closed",D20="",F20=""),"",IF(AB11&gt;D20,"",AA80*Loans!C7/12))</f>
        <v/>
      </c>
      <c r="AC20" s="15" t="str">
        <f aca="false">IF(OR(C20&lt;&gt;"Closed",D20="",F20=""),"",IF(AC11&gt;D20,"",AB80*Loans!C7/12))</f>
        <v/>
      </c>
      <c r="AD20" s="15" t="str">
        <f aca="false">IF(OR(C20&lt;&gt;"Closed",D20="",F20=""),"",IF(AD11&gt;D20,"",AC80*Loans!C7/12))</f>
        <v/>
      </c>
      <c r="AE20" s="15" t="str">
        <f aca="false">IF(OR(C20&lt;&gt;"Closed",D20="",F20=""),"",IF(AE11&gt;D20,"",AD80*Loans!C7/12))</f>
        <v/>
      </c>
      <c r="AF20" s="15" t="str">
        <f aca="false">IF(OR(C20&lt;&gt;"Closed",D20="",F20=""),"",IF(AF11&gt;D20,"",AE80*Loans!C7/12))</f>
        <v/>
      </c>
      <c r="AG20" s="15" t="str">
        <f aca="false">IF(OR(C20&lt;&gt;"Closed",D20="",F20=""),"",IF(AG11&gt;D20,"",AF80*Loans!C7/12))</f>
        <v/>
      </c>
      <c r="AH20" s="15" t="str">
        <f aca="false">IF(OR(C20&lt;&gt;"Closed",D20="",F20=""),"",IF(AH11&gt;D20,"",AG80*Loans!C7/12))</f>
        <v/>
      </c>
      <c r="AI20" s="15" t="str">
        <f aca="false">IF(OR(C20&lt;&gt;"Closed",D20="",F20=""),"",IF(AI11&gt;D20,"",AH80*Loans!C7/12))</f>
        <v/>
      </c>
      <c r="AJ20" s="15" t="str">
        <f aca="false">IF(OR(C20&lt;&gt;"Closed",D20="",F20=""),"",IF(AJ11&gt;D20,"",AI80*Loans!C7/12))</f>
        <v/>
      </c>
      <c r="AK20" s="15" t="str">
        <f aca="false">IF(OR(C20&lt;&gt;"Closed",D20="",F20=""),"",IF(AK11&gt;D20,"",AJ80*Loans!C7/12))</f>
        <v/>
      </c>
      <c r="AL20" s="15" t="str">
        <f aca="false">IF(OR(C20&lt;&gt;"Closed",D20="",F20=""),"",IF(AL11&gt;D20,"",AK80*Loans!C7/12))</f>
        <v/>
      </c>
      <c r="AM20" s="15" t="str">
        <f aca="false">IF(OR(C20&lt;&gt;"Closed",D20="",F20=""),"",IF(AM11&gt;D20,"",AL80*Loans!C7/12))</f>
        <v/>
      </c>
      <c r="AN20" s="15" t="str">
        <f aca="false">IF(OR(C20&lt;&gt;"Closed",D20="",F20=""),"",IF(AN11&gt;D20,"",AM80*Loans!C7/12))</f>
        <v/>
      </c>
      <c r="AO20" s="15" t="str">
        <f aca="false">IF(OR(C20&lt;&gt;"Closed",D20="",F20=""),"",IF(AO11&gt;D20,"",AN80*Loans!C7/12))</f>
        <v/>
      </c>
      <c r="AP20" s="15" t="str">
        <f aca="false">IF(OR(C20&lt;&gt;"Closed",D20="",F20=""),"",IF(AP11&gt;D20,"",AO80*Loans!C7/12))</f>
        <v/>
      </c>
      <c r="AQ20" s="15" t="str">
        <f aca="false">IF(OR(C20&lt;&gt;"Closed",D20="",F20=""),"",IF(AQ11&gt;D20,"",AP80*Loans!C7/12))</f>
        <v/>
      </c>
      <c r="AR20" s="15" t="str">
        <f aca="false">IF(OR(C20&lt;&gt;"Closed",D20="",F20=""),"",IF(AR11&gt;D20,"",AQ80*Loans!C7/12))</f>
        <v/>
      </c>
      <c r="AS20" s="15" t="str">
        <f aca="false">IF(OR(C20&lt;&gt;"Closed",D20="",F20=""),"",IF(AS11&gt;D20,"",AR80*Loans!C7/12))</f>
        <v/>
      </c>
      <c r="AT20" s="15" t="str">
        <f aca="false">IF(OR(C20&lt;&gt;"Closed",D20="",F20=""),"",IF(AT11&gt;D20,"",AS80*Loans!C7/12))</f>
        <v/>
      </c>
      <c r="AU20" s="15" t="str">
        <f aca="false">IF(OR(C20&lt;&gt;"Closed",D20="",F20=""),"",IF(AU11&gt;D20,"",AT80*Loans!C7/12))</f>
        <v/>
      </c>
      <c r="AV20" s="15" t="str">
        <f aca="false">IF(OR(C20&lt;&gt;"Closed",D20="",F20=""),"",IF(AV11&gt;D20,"",AU80*Loans!C7/12))</f>
        <v/>
      </c>
      <c r="AW20" s="15" t="str">
        <f aca="false">IF(OR(C20&lt;&gt;"Closed",D20="",F20=""),"",IF(AW11&gt;D20,"",AV80*Loans!C7/12))</f>
        <v/>
      </c>
      <c r="AX20" s="15" t="str">
        <f aca="false">IF(OR(C20&lt;&gt;"Closed",D20="",F20=""),"",IF(AX11&gt;D20,"",AW80*Loans!C7/12))</f>
        <v/>
      </c>
      <c r="AY20" s="15" t="str">
        <f aca="false">IF(OR(C20&lt;&gt;"Closed",D20="",F20=""),"",IF(AY11&gt;D20,"",AX80*Loans!C7/12))</f>
        <v/>
      </c>
      <c r="AZ20" s="15" t="str">
        <f aca="false">IF(OR(C20&lt;&gt;"Closed",D20="",F20=""),"",IF(AZ11&gt;D20,"",AY80*Loans!C7/12))</f>
        <v/>
      </c>
      <c r="BA20" s="15" t="str">
        <f aca="false">IF(OR(C20&lt;&gt;"Closed",D20="",F20=""),"",IF(BA11&gt;D20,"",AZ80*Loans!C7/12))</f>
        <v/>
      </c>
      <c r="BB20" s="15" t="str">
        <f aca="false">IF(OR(C20&lt;&gt;"Closed",D20="",F20=""),"",IF(BB11&gt;D20,"",BA80*Loans!C7/12))</f>
        <v/>
      </c>
      <c r="BC20" s="15" t="str">
        <f aca="false">IF(OR(C20&lt;&gt;"Closed",D20="",F20=""),"",IF(BC11&gt;D20,"",BB80*Loans!C7/12))</f>
        <v/>
      </c>
      <c r="BD20" s="15" t="str">
        <f aca="false">IF(OR(C20&lt;&gt;"Closed",D20="",F20=""),"",IF(BD11&gt;D20,"",BC80*Loans!C7/12))</f>
        <v/>
      </c>
      <c r="BE20" s="15" t="str">
        <f aca="false">IF(OR(C20&lt;&gt;"Closed",D20="",F20=""),"",IF(BE11&gt;D20,"",BD80*Loans!C7/12))</f>
        <v/>
      </c>
      <c r="BF20" s="15" t="str">
        <f aca="false">IF(OR(C20&lt;&gt;"Closed",D20="",F20=""),"",IF(BF11&gt;D20,"",BE80*Loans!C7/12))</f>
        <v/>
      </c>
      <c r="BG20" s="15" t="str">
        <f aca="false">IF(OR(C20&lt;&gt;"Closed",D20="",F20=""),"",IF(BG11&gt;D20,"",BF80*Loans!C7/12))</f>
        <v/>
      </c>
      <c r="BH20" s="15" t="str">
        <f aca="false">IF(OR(C20&lt;&gt;"Closed",D20="",F20=""),"",IF(BH11&gt;D20,"",BG80*Loans!C7/12))</f>
        <v/>
      </c>
      <c r="BI20" s="15" t="str">
        <f aca="false">IF(OR(C20&lt;&gt;"Closed",D20="",F20=""),"",IF(BI11&gt;D20,"",BH80*Loans!C7/12))</f>
        <v/>
      </c>
      <c r="BJ20" s="15" t="str">
        <f aca="false">IF(OR(C20&lt;&gt;"Closed",D20="",F20=""),"",IF(BJ11&gt;D20,"",BI80*Loans!C7/12))</f>
        <v/>
      </c>
      <c r="BK20" s="15" t="str">
        <f aca="false">IF(OR(C20&lt;&gt;"Closed",D20="",F20=""),"",IF(BK11&gt;D20,"",BJ80*Loans!C7/12))</f>
        <v/>
      </c>
      <c r="BL20" s="15" t="str">
        <f aca="false">IF(OR(C20&lt;&gt;"Closed",D20="",F20=""),"",IF(BL11&gt;D20,"",BK80*Loans!C7/12))</f>
        <v/>
      </c>
      <c r="BM20" s="15" t="str">
        <f aca="false">IF(OR(C20&lt;&gt;"Closed",D20="",F20=""),"",IF(BM11&gt;D20,"",BL80*Loans!C7/12))</f>
        <v/>
      </c>
      <c r="BN20" s="15" t="str">
        <f aca="false">IF(OR(C20&lt;&gt;"Closed",D20="",F20=""),"",IF(BN11&gt;D20,"",BM80*Loans!C7/12))</f>
        <v/>
      </c>
      <c r="BO20" s="15" t="str">
        <f aca="false">IF(OR(C20&lt;&gt;"Closed",D20="",F20=""),"",IF(BO11&gt;D20,"",BN80*Loans!C7/12))</f>
        <v/>
      </c>
      <c r="BP20" s="15" t="str">
        <f aca="false">IF(OR(C20&lt;&gt;"Closed",D20="",F20=""),"",IF(BP11&gt;D20,"",BO80*Loans!C7/12))</f>
        <v/>
      </c>
    </row>
    <row r="21" customFormat="false" ht="15" hidden="false" customHeight="false" outlineLevel="0" collapsed="false">
      <c r="A21" s="29" t="str">
        <f aca="false">IF(Loans!A21="","",Loans!A21)</f>
        <v/>
      </c>
      <c r="B21" s="29" t="str">
        <f aca="false">IF(Loans!B21="","",Loans!B21)</f>
        <v/>
      </c>
      <c r="C21" s="29" t="str">
        <f aca="false">IF(Loans!C21="","",Loans!C21)</f>
        <v/>
      </c>
      <c r="D21" s="16" t="str">
        <f aca="false">IF(Loans!I21="","",Loans!I21)</f>
        <v/>
      </c>
      <c r="E21" s="17" t="str">
        <f aca="false">IF(Loans!E21="","",Loans!E21)</f>
        <v/>
      </c>
      <c r="F21" s="15" t="str">
        <f aca="false">IF(Loans!F21="","",Loans!F21)</f>
        <v/>
      </c>
      <c r="G21" s="15" t="str">
        <f aca="false">IF(OR(C21&lt;&gt;"Closed",D21="",F21=""),"",PMT(Loans!C7/12,D21,-F21))</f>
        <v/>
      </c>
      <c r="H21" s="15" t="str">
        <f aca="false">IF(C21&lt;&gt;"Closed","",SUM(I21:BP21))</f>
        <v/>
      </c>
      <c r="I21" s="15" t="str">
        <f aca="false">IF(OR(C21&lt;&gt;"Closed",D21="",F21=""),"",IF(I11&gt;D21,"",F21*Loans!C7/12))</f>
        <v/>
      </c>
      <c r="J21" s="15" t="str">
        <f aca="false">IF(OR(C21&lt;&gt;"Closed",D21="",F21=""),"",IF(J11&gt;D21,"",I81*Loans!C7/12))</f>
        <v/>
      </c>
      <c r="K21" s="15" t="str">
        <f aca="false">IF(OR(C21&lt;&gt;"Closed",D21="",F21=""),"",IF(K11&gt;D21,"",J81*Loans!C7/12))</f>
        <v/>
      </c>
      <c r="L21" s="15" t="str">
        <f aca="false">IF(OR(C21&lt;&gt;"Closed",D21="",F21=""),"",IF(L11&gt;D21,"",K81*Loans!C7/12))</f>
        <v/>
      </c>
      <c r="M21" s="15" t="str">
        <f aca="false">IF(OR(C21&lt;&gt;"Closed",D21="",F21=""),"",IF(M11&gt;D21,"",L81*Loans!C7/12))</f>
        <v/>
      </c>
      <c r="N21" s="15" t="str">
        <f aca="false">IF(OR(C21&lt;&gt;"Closed",D21="",F21=""),"",IF(N11&gt;D21,"",M81*Loans!C7/12))</f>
        <v/>
      </c>
      <c r="O21" s="15" t="str">
        <f aca="false">IF(OR(C21&lt;&gt;"Closed",D21="",F21=""),"",IF(O11&gt;D21,"",N81*Loans!C7/12))</f>
        <v/>
      </c>
      <c r="P21" s="15" t="str">
        <f aca="false">IF(OR(C21&lt;&gt;"Closed",D21="",F21=""),"",IF(P11&gt;D21,"",O81*Loans!C7/12))</f>
        <v/>
      </c>
      <c r="Q21" s="15" t="str">
        <f aca="false">IF(OR(C21&lt;&gt;"Closed",D21="",F21=""),"",IF(Q11&gt;D21,"",P81*Loans!C7/12))</f>
        <v/>
      </c>
      <c r="R21" s="15" t="str">
        <f aca="false">IF(OR(C21&lt;&gt;"Closed",D21="",F21=""),"",IF(R11&gt;D21,"",Q81*Loans!C7/12))</f>
        <v/>
      </c>
      <c r="S21" s="15" t="str">
        <f aca="false">IF(OR(C21&lt;&gt;"Closed",D21="",F21=""),"",IF(S11&gt;D21,"",R81*Loans!C7/12))</f>
        <v/>
      </c>
      <c r="T21" s="15" t="str">
        <f aca="false">IF(OR(C21&lt;&gt;"Closed",D21="",F21=""),"",IF(T11&gt;D21,"",S81*Loans!C7/12))</f>
        <v/>
      </c>
      <c r="U21" s="15" t="str">
        <f aca="false">IF(OR(C21&lt;&gt;"Closed",D21="",F21=""),"",IF(U11&gt;D21,"",T81*Loans!C7/12))</f>
        <v/>
      </c>
      <c r="V21" s="15" t="str">
        <f aca="false">IF(OR(C21&lt;&gt;"Closed",D21="",F21=""),"",IF(V11&gt;D21,"",U81*Loans!C7/12))</f>
        <v/>
      </c>
      <c r="W21" s="15" t="str">
        <f aca="false">IF(OR(C21&lt;&gt;"Closed",D21="",F21=""),"",IF(W11&gt;D21,"",V81*Loans!C7/12))</f>
        <v/>
      </c>
      <c r="X21" s="15" t="str">
        <f aca="false">IF(OR(C21&lt;&gt;"Closed",D21="",F21=""),"",IF(X11&gt;D21,"",W81*Loans!C7/12))</f>
        <v/>
      </c>
      <c r="Y21" s="15" t="str">
        <f aca="false">IF(OR(C21&lt;&gt;"Closed",D21="",F21=""),"",IF(Y11&gt;D21,"",X81*Loans!C7/12))</f>
        <v/>
      </c>
      <c r="Z21" s="15" t="str">
        <f aca="false">IF(OR(C21&lt;&gt;"Closed",D21="",F21=""),"",IF(Z11&gt;D21,"",Y81*Loans!C7/12))</f>
        <v/>
      </c>
      <c r="AA21" s="15" t="str">
        <f aca="false">IF(OR(C21&lt;&gt;"Closed",D21="",F21=""),"",IF(AA11&gt;D21,"",Z81*Loans!C7/12))</f>
        <v/>
      </c>
      <c r="AB21" s="15" t="str">
        <f aca="false">IF(OR(C21&lt;&gt;"Closed",D21="",F21=""),"",IF(AB11&gt;D21,"",AA81*Loans!C7/12))</f>
        <v/>
      </c>
      <c r="AC21" s="15" t="str">
        <f aca="false">IF(OR(C21&lt;&gt;"Closed",D21="",F21=""),"",IF(AC11&gt;D21,"",AB81*Loans!C7/12))</f>
        <v/>
      </c>
      <c r="AD21" s="15" t="str">
        <f aca="false">IF(OR(C21&lt;&gt;"Closed",D21="",F21=""),"",IF(AD11&gt;D21,"",AC81*Loans!C7/12))</f>
        <v/>
      </c>
      <c r="AE21" s="15" t="str">
        <f aca="false">IF(OR(C21&lt;&gt;"Closed",D21="",F21=""),"",IF(AE11&gt;D21,"",AD81*Loans!C7/12))</f>
        <v/>
      </c>
      <c r="AF21" s="15" t="str">
        <f aca="false">IF(OR(C21&lt;&gt;"Closed",D21="",F21=""),"",IF(AF11&gt;D21,"",AE81*Loans!C7/12))</f>
        <v/>
      </c>
      <c r="AG21" s="15" t="str">
        <f aca="false">IF(OR(C21&lt;&gt;"Closed",D21="",F21=""),"",IF(AG11&gt;D21,"",AF81*Loans!C7/12))</f>
        <v/>
      </c>
      <c r="AH21" s="15" t="str">
        <f aca="false">IF(OR(C21&lt;&gt;"Closed",D21="",F21=""),"",IF(AH11&gt;D21,"",AG81*Loans!C7/12))</f>
        <v/>
      </c>
      <c r="AI21" s="15" t="str">
        <f aca="false">IF(OR(C21&lt;&gt;"Closed",D21="",F21=""),"",IF(AI11&gt;D21,"",AH81*Loans!C7/12))</f>
        <v/>
      </c>
      <c r="AJ21" s="15" t="str">
        <f aca="false">IF(OR(C21&lt;&gt;"Closed",D21="",F21=""),"",IF(AJ11&gt;D21,"",AI81*Loans!C7/12))</f>
        <v/>
      </c>
      <c r="AK21" s="15" t="str">
        <f aca="false">IF(OR(C21&lt;&gt;"Closed",D21="",F21=""),"",IF(AK11&gt;D21,"",AJ81*Loans!C7/12))</f>
        <v/>
      </c>
      <c r="AL21" s="15" t="str">
        <f aca="false">IF(OR(C21&lt;&gt;"Closed",D21="",F21=""),"",IF(AL11&gt;D21,"",AK81*Loans!C7/12))</f>
        <v/>
      </c>
      <c r="AM21" s="15" t="str">
        <f aca="false">IF(OR(C21&lt;&gt;"Closed",D21="",F21=""),"",IF(AM11&gt;D21,"",AL81*Loans!C7/12))</f>
        <v/>
      </c>
      <c r="AN21" s="15" t="str">
        <f aca="false">IF(OR(C21&lt;&gt;"Closed",D21="",F21=""),"",IF(AN11&gt;D21,"",AM81*Loans!C7/12))</f>
        <v/>
      </c>
      <c r="AO21" s="15" t="str">
        <f aca="false">IF(OR(C21&lt;&gt;"Closed",D21="",F21=""),"",IF(AO11&gt;D21,"",AN81*Loans!C7/12))</f>
        <v/>
      </c>
      <c r="AP21" s="15" t="str">
        <f aca="false">IF(OR(C21&lt;&gt;"Closed",D21="",F21=""),"",IF(AP11&gt;D21,"",AO81*Loans!C7/12))</f>
        <v/>
      </c>
      <c r="AQ21" s="15" t="str">
        <f aca="false">IF(OR(C21&lt;&gt;"Closed",D21="",F21=""),"",IF(AQ11&gt;D21,"",AP81*Loans!C7/12))</f>
        <v/>
      </c>
      <c r="AR21" s="15" t="str">
        <f aca="false">IF(OR(C21&lt;&gt;"Closed",D21="",F21=""),"",IF(AR11&gt;D21,"",AQ81*Loans!C7/12))</f>
        <v/>
      </c>
      <c r="AS21" s="15" t="str">
        <f aca="false">IF(OR(C21&lt;&gt;"Closed",D21="",F21=""),"",IF(AS11&gt;D21,"",AR81*Loans!C7/12))</f>
        <v/>
      </c>
      <c r="AT21" s="15" t="str">
        <f aca="false">IF(OR(C21&lt;&gt;"Closed",D21="",F21=""),"",IF(AT11&gt;D21,"",AS81*Loans!C7/12))</f>
        <v/>
      </c>
      <c r="AU21" s="15" t="str">
        <f aca="false">IF(OR(C21&lt;&gt;"Closed",D21="",F21=""),"",IF(AU11&gt;D21,"",AT81*Loans!C7/12))</f>
        <v/>
      </c>
      <c r="AV21" s="15" t="str">
        <f aca="false">IF(OR(C21&lt;&gt;"Closed",D21="",F21=""),"",IF(AV11&gt;D21,"",AU81*Loans!C7/12))</f>
        <v/>
      </c>
      <c r="AW21" s="15" t="str">
        <f aca="false">IF(OR(C21&lt;&gt;"Closed",D21="",F21=""),"",IF(AW11&gt;D21,"",AV81*Loans!C7/12))</f>
        <v/>
      </c>
      <c r="AX21" s="15" t="str">
        <f aca="false">IF(OR(C21&lt;&gt;"Closed",D21="",F21=""),"",IF(AX11&gt;D21,"",AW81*Loans!C7/12))</f>
        <v/>
      </c>
      <c r="AY21" s="15" t="str">
        <f aca="false">IF(OR(C21&lt;&gt;"Closed",D21="",F21=""),"",IF(AY11&gt;D21,"",AX81*Loans!C7/12))</f>
        <v/>
      </c>
      <c r="AZ21" s="15" t="str">
        <f aca="false">IF(OR(C21&lt;&gt;"Closed",D21="",F21=""),"",IF(AZ11&gt;D21,"",AY81*Loans!C7/12))</f>
        <v/>
      </c>
      <c r="BA21" s="15" t="str">
        <f aca="false">IF(OR(C21&lt;&gt;"Closed",D21="",F21=""),"",IF(BA11&gt;D21,"",AZ81*Loans!C7/12))</f>
        <v/>
      </c>
      <c r="BB21" s="15" t="str">
        <f aca="false">IF(OR(C21&lt;&gt;"Closed",D21="",F21=""),"",IF(BB11&gt;D21,"",BA81*Loans!C7/12))</f>
        <v/>
      </c>
      <c r="BC21" s="15" t="str">
        <f aca="false">IF(OR(C21&lt;&gt;"Closed",D21="",F21=""),"",IF(BC11&gt;D21,"",BB81*Loans!C7/12))</f>
        <v/>
      </c>
      <c r="BD21" s="15" t="str">
        <f aca="false">IF(OR(C21&lt;&gt;"Closed",D21="",F21=""),"",IF(BD11&gt;D21,"",BC81*Loans!C7/12))</f>
        <v/>
      </c>
      <c r="BE21" s="15" t="str">
        <f aca="false">IF(OR(C21&lt;&gt;"Closed",D21="",F21=""),"",IF(BE11&gt;D21,"",BD81*Loans!C7/12))</f>
        <v/>
      </c>
      <c r="BF21" s="15" t="str">
        <f aca="false">IF(OR(C21&lt;&gt;"Closed",D21="",F21=""),"",IF(BF11&gt;D21,"",BE81*Loans!C7/12))</f>
        <v/>
      </c>
      <c r="BG21" s="15" t="str">
        <f aca="false">IF(OR(C21&lt;&gt;"Closed",D21="",F21=""),"",IF(BG11&gt;D21,"",BF81*Loans!C7/12))</f>
        <v/>
      </c>
      <c r="BH21" s="15" t="str">
        <f aca="false">IF(OR(C21&lt;&gt;"Closed",D21="",F21=""),"",IF(BH11&gt;D21,"",BG81*Loans!C7/12))</f>
        <v/>
      </c>
      <c r="BI21" s="15" t="str">
        <f aca="false">IF(OR(C21&lt;&gt;"Closed",D21="",F21=""),"",IF(BI11&gt;D21,"",BH81*Loans!C7/12))</f>
        <v/>
      </c>
      <c r="BJ21" s="15" t="str">
        <f aca="false">IF(OR(C21&lt;&gt;"Closed",D21="",F21=""),"",IF(BJ11&gt;D21,"",BI81*Loans!C7/12))</f>
        <v/>
      </c>
      <c r="BK21" s="15" t="str">
        <f aca="false">IF(OR(C21&lt;&gt;"Closed",D21="",F21=""),"",IF(BK11&gt;D21,"",BJ81*Loans!C7/12))</f>
        <v/>
      </c>
      <c r="BL21" s="15" t="str">
        <f aca="false">IF(OR(C21&lt;&gt;"Closed",D21="",F21=""),"",IF(BL11&gt;D21,"",BK81*Loans!C7/12))</f>
        <v/>
      </c>
      <c r="BM21" s="15" t="str">
        <f aca="false">IF(OR(C21&lt;&gt;"Closed",D21="",F21=""),"",IF(BM11&gt;D21,"",BL81*Loans!C7/12))</f>
        <v/>
      </c>
      <c r="BN21" s="15" t="str">
        <f aca="false">IF(OR(C21&lt;&gt;"Closed",D21="",F21=""),"",IF(BN11&gt;D21,"",BM81*Loans!C7/12))</f>
        <v/>
      </c>
      <c r="BO21" s="15" t="str">
        <f aca="false">IF(OR(C21&lt;&gt;"Closed",D21="",F21=""),"",IF(BO11&gt;D21,"",BN81*Loans!C7/12))</f>
        <v/>
      </c>
      <c r="BP21" s="15" t="str">
        <f aca="false">IF(OR(C21&lt;&gt;"Closed",D21="",F21=""),"",IF(BP11&gt;D21,"",BO81*Loans!C7/12))</f>
        <v/>
      </c>
    </row>
    <row r="22" customFormat="false" ht="15" hidden="false" customHeight="false" outlineLevel="0" collapsed="false">
      <c r="A22" s="29" t="str">
        <f aca="false">IF(Loans!A22="","",Loans!A22)</f>
        <v/>
      </c>
      <c r="B22" s="29" t="str">
        <f aca="false">IF(Loans!B22="","",Loans!B22)</f>
        <v/>
      </c>
      <c r="C22" s="29" t="str">
        <f aca="false">IF(Loans!C22="","",Loans!C22)</f>
        <v/>
      </c>
      <c r="D22" s="16" t="str">
        <f aca="false">IF(Loans!I22="","",Loans!I22)</f>
        <v/>
      </c>
      <c r="E22" s="17" t="str">
        <f aca="false">IF(Loans!E22="","",Loans!E22)</f>
        <v/>
      </c>
      <c r="F22" s="15" t="str">
        <f aca="false">IF(Loans!F22="","",Loans!F22)</f>
        <v/>
      </c>
      <c r="G22" s="15" t="str">
        <f aca="false">IF(OR(C22&lt;&gt;"Closed",D22="",F22=""),"",PMT(Loans!C7/12,D22,-F22))</f>
        <v/>
      </c>
      <c r="H22" s="15" t="str">
        <f aca="false">IF(C22&lt;&gt;"Closed","",SUM(I22:BP22))</f>
        <v/>
      </c>
      <c r="I22" s="15" t="str">
        <f aca="false">IF(OR(C22&lt;&gt;"Closed",D22="",F22=""),"",IF(I11&gt;D22,"",F22*Loans!C7/12))</f>
        <v/>
      </c>
      <c r="J22" s="15" t="str">
        <f aca="false">IF(OR(C22&lt;&gt;"Closed",D22="",F22=""),"",IF(J11&gt;D22,"",I82*Loans!C7/12))</f>
        <v/>
      </c>
      <c r="K22" s="15" t="str">
        <f aca="false">IF(OR(C22&lt;&gt;"Closed",D22="",F22=""),"",IF(K11&gt;D22,"",J82*Loans!C7/12))</f>
        <v/>
      </c>
      <c r="L22" s="15" t="str">
        <f aca="false">IF(OR(C22&lt;&gt;"Closed",D22="",F22=""),"",IF(L11&gt;D22,"",K82*Loans!C7/12))</f>
        <v/>
      </c>
      <c r="M22" s="15" t="str">
        <f aca="false">IF(OR(C22&lt;&gt;"Closed",D22="",F22=""),"",IF(M11&gt;D22,"",L82*Loans!C7/12))</f>
        <v/>
      </c>
      <c r="N22" s="15" t="str">
        <f aca="false">IF(OR(C22&lt;&gt;"Closed",D22="",F22=""),"",IF(N11&gt;D22,"",M82*Loans!C7/12))</f>
        <v/>
      </c>
      <c r="O22" s="15" t="str">
        <f aca="false">IF(OR(C22&lt;&gt;"Closed",D22="",F22=""),"",IF(O11&gt;D22,"",N82*Loans!C7/12))</f>
        <v/>
      </c>
      <c r="P22" s="15" t="str">
        <f aca="false">IF(OR(C22&lt;&gt;"Closed",D22="",F22=""),"",IF(P11&gt;D22,"",O82*Loans!C7/12))</f>
        <v/>
      </c>
      <c r="Q22" s="15" t="str">
        <f aca="false">IF(OR(C22&lt;&gt;"Closed",D22="",F22=""),"",IF(Q11&gt;D22,"",P82*Loans!C7/12))</f>
        <v/>
      </c>
      <c r="R22" s="15" t="str">
        <f aca="false">IF(OR(C22&lt;&gt;"Closed",D22="",F22=""),"",IF(R11&gt;D22,"",Q82*Loans!C7/12))</f>
        <v/>
      </c>
      <c r="S22" s="15" t="str">
        <f aca="false">IF(OR(C22&lt;&gt;"Closed",D22="",F22=""),"",IF(S11&gt;D22,"",R82*Loans!C7/12))</f>
        <v/>
      </c>
      <c r="T22" s="15" t="str">
        <f aca="false">IF(OR(C22&lt;&gt;"Closed",D22="",F22=""),"",IF(T11&gt;D22,"",S82*Loans!C7/12))</f>
        <v/>
      </c>
      <c r="U22" s="15" t="str">
        <f aca="false">IF(OR(C22&lt;&gt;"Closed",D22="",F22=""),"",IF(U11&gt;D22,"",T82*Loans!C7/12))</f>
        <v/>
      </c>
      <c r="V22" s="15" t="str">
        <f aca="false">IF(OR(C22&lt;&gt;"Closed",D22="",F22=""),"",IF(V11&gt;D22,"",U82*Loans!C7/12))</f>
        <v/>
      </c>
      <c r="W22" s="15" t="str">
        <f aca="false">IF(OR(C22&lt;&gt;"Closed",D22="",F22=""),"",IF(W11&gt;D22,"",V82*Loans!C7/12))</f>
        <v/>
      </c>
      <c r="X22" s="15" t="str">
        <f aca="false">IF(OR(C22&lt;&gt;"Closed",D22="",F22=""),"",IF(X11&gt;D22,"",W82*Loans!C7/12))</f>
        <v/>
      </c>
      <c r="Y22" s="15" t="str">
        <f aca="false">IF(OR(C22&lt;&gt;"Closed",D22="",F22=""),"",IF(Y11&gt;D22,"",X82*Loans!C7/12))</f>
        <v/>
      </c>
      <c r="Z22" s="15" t="str">
        <f aca="false">IF(OR(C22&lt;&gt;"Closed",D22="",F22=""),"",IF(Z11&gt;D22,"",Y82*Loans!C7/12))</f>
        <v/>
      </c>
      <c r="AA22" s="15" t="str">
        <f aca="false">IF(OR(C22&lt;&gt;"Closed",D22="",F22=""),"",IF(AA11&gt;D22,"",Z82*Loans!C7/12))</f>
        <v/>
      </c>
      <c r="AB22" s="15" t="str">
        <f aca="false">IF(OR(C22&lt;&gt;"Closed",D22="",F22=""),"",IF(AB11&gt;D22,"",AA82*Loans!C7/12))</f>
        <v/>
      </c>
      <c r="AC22" s="15" t="str">
        <f aca="false">IF(OR(C22&lt;&gt;"Closed",D22="",F22=""),"",IF(AC11&gt;D22,"",AB82*Loans!C7/12))</f>
        <v/>
      </c>
      <c r="AD22" s="15" t="str">
        <f aca="false">IF(OR(C22&lt;&gt;"Closed",D22="",F22=""),"",IF(AD11&gt;D22,"",AC82*Loans!C7/12))</f>
        <v/>
      </c>
      <c r="AE22" s="15" t="str">
        <f aca="false">IF(OR(C22&lt;&gt;"Closed",D22="",F22=""),"",IF(AE11&gt;D22,"",AD82*Loans!C7/12))</f>
        <v/>
      </c>
      <c r="AF22" s="15" t="str">
        <f aca="false">IF(OR(C22&lt;&gt;"Closed",D22="",F22=""),"",IF(AF11&gt;D22,"",AE82*Loans!C7/12))</f>
        <v/>
      </c>
      <c r="AG22" s="15" t="str">
        <f aca="false">IF(OR(C22&lt;&gt;"Closed",D22="",F22=""),"",IF(AG11&gt;D22,"",AF82*Loans!C7/12))</f>
        <v/>
      </c>
      <c r="AH22" s="15" t="str">
        <f aca="false">IF(OR(C22&lt;&gt;"Closed",D22="",F22=""),"",IF(AH11&gt;D22,"",AG82*Loans!C7/12))</f>
        <v/>
      </c>
      <c r="AI22" s="15" t="str">
        <f aca="false">IF(OR(C22&lt;&gt;"Closed",D22="",F22=""),"",IF(AI11&gt;D22,"",AH82*Loans!C7/12))</f>
        <v/>
      </c>
      <c r="AJ22" s="15" t="str">
        <f aca="false">IF(OR(C22&lt;&gt;"Closed",D22="",F22=""),"",IF(AJ11&gt;D22,"",AI82*Loans!C7/12))</f>
        <v/>
      </c>
      <c r="AK22" s="15" t="str">
        <f aca="false">IF(OR(C22&lt;&gt;"Closed",D22="",F22=""),"",IF(AK11&gt;D22,"",AJ82*Loans!C7/12))</f>
        <v/>
      </c>
      <c r="AL22" s="15" t="str">
        <f aca="false">IF(OR(C22&lt;&gt;"Closed",D22="",F22=""),"",IF(AL11&gt;D22,"",AK82*Loans!C7/12))</f>
        <v/>
      </c>
      <c r="AM22" s="15" t="str">
        <f aca="false">IF(OR(C22&lt;&gt;"Closed",D22="",F22=""),"",IF(AM11&gt;D22,"",AL82*Loans!C7/12))</f>
        <v/>
      </c>
      <c r="AN22" s="15" t="str">
        <f aca="false">IF(OR(C22&lt;&gt;"Closed",D22="",F22=""),"",IF(AN11&gt;D22,"",AM82*Loans!C7/12))</f>
        <v/>
      </c>
      <c r="AO22" s="15" t="str">
        <f aca="false">IF(OR(C22&lt;&gt;"Closed",D22="",F22=""),"",IF(AO11&gt;D22,"",AN82*Loans!C7/12))</f>
        <v/>
      </c>
      <c r="AP22" s="15" t="str">
        <f aca="false">IF(OR(C22&lt;&gt;"Closed",D22="",F22=""),"",IF(AP11&gt;D22,"",AO82*Loans!C7/12))</f>
        <v/>
      </c>
      <c r="AQ22" s="15" t="str">
        <f aca="false">IF(OR(C22&lt;&gt;"Closed",D22="",F22=""),"",IF(AQ11&gt;D22,"",AP82*Loans!C7/12))</f>
        <v/>
      </c>
      <c r="AR22" s="15" t="str">
        <f aca="false">IF(OR(C22&lt;&gt;"Closed",D22="",F22=""),"",IF(AR11&gt;D22,"",AQ82*Loans!C7/12))</f>
        <v/>
      </c>
      <c r="AS22" s="15" t="str">
        <f aca="false">IF(OR(C22&lt;&gt;"Closed",D22="",F22=""),"",IF(AS11&gt;D22,"",AR82*Loans!C7/12))</f>
        <v/>
      </c>
      <c r="AT22" s="15" t="str">
        <f aca="false">IF(OR(C22&lt;&gt;"Closed",D22="",F22=""),"",IF(AT11&gt;D22,"",AS82*Loans!C7/12))</f>
        <v/>
      </c>
      <c r="AU22" s="15" t="str">
        <f aca="false">IF(OR(C22&lt;&gt;"Closed",D22="",F22=""),"",IF(AU11&gt;D22,"",AT82*Loans!C7/12))</f>
        <v/>
      </c>
      <c r="AV22" s="15" t="str">
        <f aca="false">IF(OR(C22&lt;&gt;"Closed",D22="",F22=""),"",IF(AV11&gt;D22,"",AU82*Loans!C7/12))</f>
        <v/>
      </c>
      <c r="AW22" s="15" t="str">
        <f aca="false">IF(OR(C22&lt;&gt;"Closed",D22="",F22=""),"",IF(AW11&gt;D22,"",AV82*Loans!C7/12))</f>
        <v/>
      </c>
      <c r="AX22" s="15" t="str">
        <f aca="false">IF(OR(C22&lt;&gt;"Closed",D22="",F22=""),"",IF(AX11&gt;D22,"",AW82*Loans!C7/12))</f>
        <v/>
      </c>
      <c r="AY22" s="15" t="str">
        <f aca="false">IF(OR(C22&lt;&gt;"Closed",D22="",F22=""),"",IF(AY11&gt;D22,"",AX82*Loans!C7/12))</f>
        <v/>
      </c>
      <c r="AZ22" s="15" t="str">
        <f aca="false">IF(OR(C22&lt;&gt;"Closed",D22="",F22=""),"",IF(AZ11&gt;D22,"",AY82*Loans!C7/12))</f>
        <v/>
      </c>
      <c r="BA22" s="15" t="str">
        <f aca="false">IF(OR(C22&lt;&gt;"Closed",D22="",F22=""),"",IF(BA11&gt;D22,"",AZ82*Loans!C7/12))</f>
        <v/>
      </c>
      <c r="BB22" s="15" t="str">
        <f aca="false">IF(OR(C22&lt;&gt;"Closed",D22="",F22=""),"",IF(BB11&gt;D22,"",BA82*Loans!C7/12))</f>
        <v/>
      </c>
      <c r="BC22" s="15" t="str">
        <f aca="false">IF(OR(C22&lt;&gt;"Closed",D22="",F22=""),"",IF(BC11&gt;D22,"",BB82*Loans!C7/12))</f>
        <v/>
      </c>
      <c r="BD22" s="15" t="str">
        <f aca="false">IF(OR(C22&lt;&gt;"Closed",D22="",F22=""),"",IF(BD11&gt;D22,"",BC82*Loans!C7/12))</f>
        <v/>
      </c>
      <c r="BE22" s="15" t="str">
        <f aca="false">IF(OR(C22&lt;&gt;"Closed",D22="",F22=""),"",IF(BE11&gt;D22,"",BD82*Loans!C7/12))</f>
        <v/>
      </c>
      <c r="BF22" s="15" t="str">
        <f aca="false">IF(OR(C22&lt;&gt;"Closed",D22="",F22=""),"",IF(BF11&gt;D22,"",BE82*Loans!C7/12))</f>
        <v/>
      </c>
      <c r="BG22" s="15" t="str">
        <f aca="false">IF(OR(C22&lt;&gt;"Closed",D22="",F22=""),"",IF(BG11&gt;D22,"",BF82*Loans!C7/12))</f>
        <v/>
      </c>
      <c r="BH22" s="15" t="str">
        <f aca="false">IF(OR(C22&lt;&gt;"Closed",D22="",F22=""),"",IF(BH11&gt;D22,"",BG82*Loans!C7/12))</f>
        <v/>
      </c>
      <c r="BI22" s="15" t="str">
        <f aca="false">IF(OR(C22&lt;&gt;"Closed",D22="",F22=""),"",IF(BI11&gt;D22,"",BH82*Loans!C7/12))</f>
        <v/>
      </c>
      <c r="BJ22" s="15" t="str">
        <f aca="false">IF(OR(C22&lt;&gt;"Closed",D22="",F22=""),"",IF(BJ11&gt;D22,"",BI82*Loans!C7/12))</f>
        <v/>
      </c>
      <c r="BK22" s="15" t="str">
        <f aca="false">IF(OR(C22&lt;&gt;"Closed",D22="",F22=""),"",IF(BK11&gt;D22,"",BJ82*Loans!C7/12))</f>
        <v/>
      </c>
      <c r="BL22" s="15" t="str">
        <f aca="false">IF(OR(C22&lt;&gt;"Closed",D22="",F22=""),"",IF(BL11&gt;D22,"",BK82*Loans!C7/12))</f>
        <v/>
      </c>
      <c r="BM22" s="15" t="str">
        <f aca="false">IF(OR(C22&lt;&gt;"Closed",D22="",F22=""),"",IF(BM11&gt;D22,"",BL82*Loans!C7/12))</f>
        <v/>
      </c>
      <c r="BN22" s="15" t="str">
        <f aca="false">IF(OR(C22&lt;&gt;"Closed",D22="",F22=""),"",IF(BN11&gt;D22,"",BM82*Loans!C7/12))</f>
        <v/>
      </c>
      <c r="BO22" s="15" t="str">
        <f aca="false">IF(OR(C22&lt;&gt;"Closed",D22="",F22=""),"",IF(BO11&gt;D22,"",BN82*Loans!C7/12))</f>
        <v/>
      </c>
      <c r="BP22" s="15" t="str">
        <f aca="false">IF(OR(C22&lt;&gt;"Closed",D22="",F22=""),"",IF(BP11&gt;D22,"",BO82*Loans!C7/12))</f>
        <v/>
      </c>
    </row>
    <row r="23" customFormat="false" ht="15" hidden="false" customHeight="false" outlineLevel="0" collapsed="false">
      <c r="A23" s="29" t="str">
        <f aca="false">IF(Loans!A23="","",Loans!A23)</f>
        <v/>
      </c>
      <c r="B23" s="29" t="str">
        <f aca="false">IF(Loans!B23="","",Loans!B23)</f>
        <v/>
      </c>
      <c r="C23" s="29" t="str">
        <f aca="false">IF(Loans!C23="","",Loans!C23)</f>
        <v/>
      </c>
      <c r="D23" s="16" t="str">
        <f aca="false">IF(Loans!I23="","",Loans!I23)</f>
        <v/>
      </c>
      <c r="E23" s="17" t="str">
        <f aca="false">IF(Loans!E23="","",Loans!E23)</f>
        <v/>
      </c>
      <c r="F23" s="15" t="str">
        <f aca="false">IF(Loans!F23="","",Loans!F23)</f>
        <v/>
      </c>
      <c r="G23" s="15" t="str">
        <f aca="false">IF(OR(C23&lt;&gt;"Closed",D23="",F23=""),"",PMT(Loans!C7/12,D23,-F23))</f>
        <v/>
      </c>
      <c r="H23" s="15" t="str">
        <f aca="false">IF(C23&lt;&gt;"Closed","",SUM(I23:BP23))</f>
        <v/>
      </c>
      <c r="I23" s="15" t="str">
        <f aca="false">IF(OR(C23&lt;&gt;"Closed",D23="",F23=""),"",IF(I11&gt;D23,"",F23*Loans!C7/12))</f>
        <v/>
      </c>
      <c r="J23" s="15" t="str">
        <f aca="false">IF(OR(C23&lt;&gt;"Closed",D23="",F23=""),"",IF(J11&gt;D23,"",I83*Loans!C7/12))</f>
        <v/>
      </c>
      <c r="K23" s="15" t="str">
        <f aca="false">IF(OR(C23&lt;&gt;"Closed",D23="",F23=""),"",IF(K11&gt;D23,"",J83*Loans!C7/12))</f>
        <v/>
      </c>
      <c r="L23" s="15" t="str">
        <f aca="false">IF(OR(C23&lt;&gt;"Closed",D23="",F23=""),"",IF(L11&gt;D23,"",K83*Loans!C7/12))</f>
        <v/>
      </c>
      <c r="M23" s="15" t="str">
        <f aca="false">IF(OR(C23&lt;&gt;"Closed",D23="",F23=""),"",IF(M11&gt;D23,"",L83*Loans!C7/12))</f>
        <v/>
      </c>
      <c r="N23" s="15" t="str">
        <f aca="false">IF(OR(C23&lt;&gt;"Closed",D23="",F23=""),"",IF(N11&gt;D23,"",M83*Loans!C7/12))</f>
        <v/>
      </c>
      <c r="O23" s="15" t="str">
        <f aca="false">IF(OR(C23&lt;&gt;"Closed",D23="",F23=""),"",IF(O11&gt;D23,"",N83*Loans!C7/12))</f>
        <v/>
      </c>
      <c r="P23" s="15" t="str">
        <f aca="false">IF(OR(C23&lt;&gt;"Closed",D23="",F23=""),"",IF(P11&gt;D23,"",O83*Loans!C7/12))</f>
        <v/>
      </c>
      <c r="Q23" s="15" t="str">
        <f aca="false">IF(OR(C23&lt;&gt;"Closed",D23="",F23=""),"",IF(Q11&gt;D23,"",P83*Loans!C7/12))</f>
        <v/>
      </c>
      <c r="R23" s="15" t="str">
        <f aca="false">IF(OR(C23&lt;&gt;"Closed",D23="",F23=""),"",IF(R11&gt;D23,"",Q83*Loans!C7/12))</f>
        <v/>
      </c>
      <c r="S23" s="15" t="str">
        <f aca="false">IF(OR(C23&lt;&gt;"Closed",D23="",F23=""),"",IF(S11&gt;D23,"",R83*Loans!C7/12))</f>
        <v/>
      </c>
      <c r="T23" s="15" t="str">
        <f aca="false">IF(OR(C23&lt;&gt;"Closed",D23="",F23=""),"",IF(T11&gt;D23,"",S83*Loans!C7/12))</f>
        <v/>
      </c>
      <c r="U23" s="15" t="str">
        <f aca="false">IF(OR(C23&lt;&gt;"Closed",D23="",F23=""),"",IF(U11&gt;D23,"",T83*Loans!C7/12))</f>
        <v/>
      </c>
      <c r="V23" s="15" t="str">
        <f aca="false">IF(OR(C23&lt;&gt;"Closed",D23="",F23=""),"",IF(V11&gt;D23,"",U83*Loans!C7/12))</f>
        <v/>
      </c>
      <c r="W23" s="15" t="str">
        <f aca="false">IF(OR(C23&lt;&gt;"Closed",D23="",F23=""),"",IF(W11&gt;D23,"",V83*Loans!C7/12))</f>
        <v/>
      </c>
      <c r="X23" s="15" t="str">
        <f aca="false">IF(OR(C23&lt;&gt;"Closed",D23="",F23=""),"",IF(X11&gt;D23,"",W83*Loans!C7/12))</f>
        <v/>
      </c>
      <c r="Y23" s="15" t="str">
        <f aca="false">IF(OR(C23&lt;&gt;"Closed",D23="",F23=""),"",IF(Y11&gt;D23,"",X83*Loans!C7/12))</f>
        <v/>
      </c>
      <c r="Z23" s="15" t="str">
        <f aca="false">IF(OR(C23&lt;&gt;"Closed",D23="",F23=""),"",IF(Z11&gt;D23,"",Y83*Loans!C7/12))</f>
        <v/>
      </c>
      <c r="AA23" s="15" t="str">
        <f aca="false">IF(OR(C23&lt;&gt;"Closed",D23="",F23=""),"",IF(AA11&gt;D23,"",Z83*Loans!C7/12))</f>
        <v/>
      </c>
      <c r="AB23" s="15" t="str">
        <f aca="false">IF(OR(C23&lt;&gt;"Closed",D23="",F23=""),"",IF(AB11&gt;D23,"",AA83*Loans!C7/12))</f>
        <v/>
      </c>
      <c r="AC23" s="15" t="str">
        <f aca="false">IF(OR(C23&lt;&gt;"Closed",D23="",F23=""),"",IF(AC11&gt;D23,"",AB83*Loans!C7/12))</f>
        <v/>
      </c>
      <c r="AD23" s="15" t="str">
        <f aca="false">IF(OR(C23&lt;&gt;"Closed",D23="",F23=""),"",IF(AD11&gt;D23,"",AC83*Loans!C7/12))</f>
        <v/>
      </c>
      <c r="AE23" s="15" t="str">
        <f aca="false">IF(OR(C23&lt;&gt;"Closed",D23="",F23=""),"",IF(AE11&gt;D23,"",AD83*Loans!C7/12))</f>
        <v/>
      </c>
      <c r="AF23" s="15" t="str">
        <f aca="false">IF(OR(C23&lt;&gt;"Closed",D23="",F23=""),"",IF(AF11&gt;D23,"",AE83*Loans!C7/12))</f>
        <v/>
      </c>
      <c r="AG23" s="15" t="str">
        <f aca="false">IF(OR(C23&lt;&gt;"Closed",D23="",F23=""),"",IF(AG11&gt;D23,"",AF83*Loans!C7/12))</f>
        <v/>
      </c>
      <c r="AH23" s="15" t="str">
        <f aca="false">IF(OR(C23&lt;&gt;"Closed",D23="",F23=""),"",IF(AH11&gt;D23,"",AG83*Loans!C7/12))</f>
        <v/>
      </c>
      <c r="AI23" s="15" t="str">
        <f aca="false">IF(OR(C23&lt;&gt;"Closed",D23="",F23=""),"",IF(AI11&gt;D23,"",AH83*Loans!C7/12))</f>
        <v/>
      </c>
      <c r="AJ23" s="15" t="str">
        <f aca="false">IF(OR(C23&lt;&gt;"Closed",D23="",F23=""),"",IF(AJ11&gt;D23,"",AI83*Loans!C7/12))</f>
        <v/>
      </c>
      <c r="AK23" s="15" t="str">
        <f aca="false">IF(OR(C23&lt;&gt;"Closed",D23="",F23=""),"",IF(AK11&gt;D23,"",AJ83*Loans!C7/12))</f>
        <v/>
      </c>
      <c r="AL23" s="15" t="str">
        <f aca="false">IF(OR(C23&lt;&gt;"Closed",D23="",F23=""),"",IF(AL11&gt;D23,"",AK83*Loans!C7/12))</f>
        <v/>
      </c>
      <c r="AM23" s="15" t="str">
        <f aca="false">IF(OR(C23&lt;&gt;"Closed",D23="",F23=""),"",IF(AM11&gt;D23,"",AL83*Loans!C7/12))</f>
        <v/>
      </c>
      <c r="AN23" s="15" t="str">
        <f aca="false">IF(OR(C23&lt;&gt;"Closed",D23="",F23=""),"",IF(AN11&gt;D23,"",AM83*Loans!C7/12))</f>
        <v/>
      </c>
      <c r="AO23" s="15" t="str">
        <f aca="false">IF(OR(C23&lt;&gt;"Closed",D23="",F23=""),"",IF(AO11&gt;D23,"",AN83*Loans!C7/12))</f>
        <v/>
      </c>
      <c r="AP23" s="15" t="str">
        <f aca="false">IF(OR(C23&lt;&gt;"Closed",D23="",F23=""),"",IF(AP11&gt;D23,"",AO83*Loans!C7/12))</f>
        <v/>
      </c>
      <c r="AQ23" s="15" t="str">
        <f aca="false">IF(OR(C23&lt;&gt;"Closed",D23="",F23=""),"",IF(AQ11&gt;D23,"",AP83*Loans!C7/12))</f>
        <v/>
      </c>
      <c r="AR23" s="15" t="str">
        <f aca="false">IF(OR(C23&lt;&gt;"Closed",D23="",F23=""),"",IF(AR11&gt;D23,"",AQ83*Loans!C7/12))</f>
        <v/>
      </c>
      <c r="AS23" s="15" t="str">
        <f aca="false">IF(OR(C23&lt;&gt;"Closed",D23="",F23=""),"",IF(AS11&gt;D23,"",AR83*Loans!C7/12))</f>
        <v/>
      </c>
      <c r="AT23" s="15" t="str">
        <f aca="false">IF(OR(C23&lt;&gt;"Closed",D23="",F23=""),"",IF(AT11&gt;D23,"",AS83*Loans!C7/12))</f>
        <v/>
      </c>
      <c r="AU23" s="15" t="str">
        <f aca="false">IF(OR(C23&lt;&gt;"Closed",D23="",F23=""),"",IF(AU11&gt;D23,"",AT83*Loans!C7/12))</f>
        <v/>
      </c>
      <c r="AV23" s="15" t="str">
        <f aca="false">IF(OR(C23&lt;&gt;"Closed",D23="",F23=""),"",IF(AV11&gt;D23,"",AU83*Loans!C7/12))</f>
        <v/>
      </c>
      <c r="AW23" s="15" t="str">
        <f aca="false">IF(OR(C23&lt;&gt;"Closed",D23="",F23=""),"",IF(AW11&gt;D23,"",AV83*Loans!C7/12))</f>
        <v/>
      </c>
      <c r="AX23" s="15" t="str">
        <f aca="false">IF(OR(C23&lt;&gt;"Closed",D23="",F23=""),"",IF(AX11&gt;D23,"",AW83*Loans!C7/12))</f>
        <v/>
      </c>
      <c r="AY23" s="15" t="str">
        <f aca="false">IF(OR(C23&lt;&gt;"Closed",D23="",F23=""),"",IF(AY11&gt;D23,"",AX83*Loans!C7/12))</f>
        <v/>
      </c>
      <c r="AZ23" s="15" t="str">
        <f aca="false">IF(OR(C23&lt;&gt;"Closed",D23="",F23=""),"",IF(AZ11&gt;D23,"",AY83*Loans!C7/12))</f>
        <v/>
      </c>
      <c r="BA23" s="15" t="str">
        <f aca="false">IF(OR(C23&lt;&gt;"Closed",D23="",F23=""),"",IF(BA11&gt;D23,"",AZ83*Loans!C7/12))</f>
        <v/>
      </c>
      <c r="BB23" s="15" t="str">
        <f aca="false">IF(OR(C23&lt;&gt;"Closed",D23="",F23=""),"",IF(BB11&gt;D23,"",BA83*Loans!C7/12))</f>
        <v/>
      </c>
      <c r="BC23" s="15" t="str">
        <f aca="false">IF(OR(C23&lt;&gt;"Closed",D23="",F23=""),"",IF(BC11&gt;D23,"",BB83*Loans!C7/12))</f>
        <v/>
      </c>
      <c r="BD23" s="15" t="str">
        <f aca="false">IF(OR(C23&lt;&gt;"Closed",D23="",F23=""),"",IF(BD11&gt;D23,"",BC83*Loans!C7/12))</f>
        <v/>
      </c>
      <c r="BE23" s="15" t="str">
        <f aca="false">IF(OR(C23&lt;&gt;"Closed",D23="",F23=""),"",IF(BE11&gt;D23,"",BD83*Loans!C7/12))</f>
        <v/>
      </c>
      <c r="BF23" s="15" t="str">
        <f aca="false">IF(OR(C23&lt;&gt;"Closed",D23="",F23=""),"",IF(BF11&gt;D23,"",BE83*Loans!C7/12))</f>
        <v/>
      </c>
      <c r="BG23" s="15" t="str">
        <f aca="false">IF(OR(C23&lt;&gt;"Closed",D23="",F23=""),"",IF(BG11&gt;D23,"",BF83*Loans!C7/12))</f>
        <v/>
      </c>
      <c r="BH23" s="15" t="str">
        <f aca="false">IF(OR(C23&lt;&gt;"Closed",D23="",F23=""),"",IF(BH11&gt;D23,"",BG83*Loans!C7/12))</f>
        <v/>
      </c>
      <c r="BI23" s="15" t="str">
        <f aca="false">IF(OR(C23&lt;&gt;"Closed",D23="",F23=""),"",IF(BI11&gt;D23,"",BH83*Loans!C7/12))</f>
        <v/>
      </c>
      <c r="BJ23" s="15" t="str">
        <f aca="false">IF(OR(C23&lt;&gt;"Closed",D23="",F23=""),"",IF(BJ11&gt;D23,"",BI83*Loans!C7/12))</f>
        <v/>
      </c>
      <c r="BK23" s="15" t="str">
        <f aca="false">IF(OR(C23&lt;&gt;"Closed",D23="",F23=""),"",IF(BK11&gt;D23,"",BJ83*Loans!C7/12))</f>
        <v/>
      </c>
      <c r="BL23" s="15" t="str">
        <f aca="false">IF(OR(C23&lt;&gt;"Closed",D23="",F23=""),"",IF(BL11&gt;D23,"",BK83*Loans!C7/12))</f>
        <v/>
      </c>
      <c r="BM23" s="15" t="str">
        <f aca="false">IF(OR(C23&lt;&gt;"Closed",D23="",F23=""),"",IF(BM11&gt;D23,"",BL83*Loans!C7/12))</f>
        <v/>
      </c>
      <c r="BN23" s="15" t="str">
        <f aca="false">IF(OR(C23&lt;&gt;"Closed",D23="",F23=""),"",IF(BN11&gt;D23,"",BM83*Loans!C7/12))</f>
        <v/>
      </c>
      <c r="BO23" s="15" t="str">
        <f aca="false">IF(OR(C23&lt;&gt;"Closed",D23="",F23=""),"",IF(BO11&gt;D23,"",BN83*Loans!C7/12))</f>
        <v/>
      </c>
      <c r="BP23" s="15" t="str">
        <f aca="false">IF(OR(C23&lt;&gt;"Closed",D23="",F23=""),"",IF(BP11&gt;D23,"",BO83*Loans!C7/12))</f>
        <v/>
      </c>
    </row>
    <row r="24" customFormat="false" ht="15" hidden="false" customHeight="false" outlineLevel="0" collapsed="false">
      <c r="A24" s="29" t="str">
        <f aca="false">IF(Loans!A24="","",Loans!A24)</f>
        <v/>
      </c>
      <c r="B24" s="29" t="str">
        <f aca="false">IF(Loans!B24="","",Loans!B24)</f>
        <v/>
      </c>
      <c r="C24" s="29" t="str">
        <f aca="false">IF(Loans!C24="","",Loans!C24)</f>
        <v/>
      </c>
      <c r="D24" s="16" t="str">
        <f aca="false">IF(Loans!I24="","",Loans!I24)</f>
        <v/>
      </c>
      <c r="E24" s="17" t="str">
        <f aca="false">IF(Loans!E24="","",Loans!E24)</f>
        <v/>
      </c>
      <c r="F24" s="15" t="str">
        <f aca="false">IF(Loans!F24="","",Loans!F24)</f>
        <v/>
      </c>
      <c r="G24" s="15" t="str">
        <f aca="false">IF(OR(C24&lt;&gt;"Closed",D24="",F24=""),"",PMT(Loans!C7/12,D24,-F24))</f>
        <v/>
      </c>
      <c r="H24" s="15" t="str">
        <f aca="false">IF(C24&lt;&gt;"Closed","",SUM(I24:BP24))</f>
        <v/>
      </c>
      <c r="I24" s="15" t="str">
        <f aca="false">IF(OR(C24&lt;&gt;"Closed",D24="",F24=""),"",IF(I11&gt;D24,"",F24*Loans!C7/12))</f>
        <v/>
      </c>
      <c r="J24" s="15" t="str">
        <f aca="false">IF(OR(C24&lt;&gt;"Closed",D24="",F24=""),"",IF(J11&gt;D24,"",I84*Loans!C7/12))</f>
        <v/>
      </c>
      <c r="K24" s="15" t="str">
        <f aca="false">IF(OR(C24&lt;&gt;"Closed",D24="",F24=""),"",IF(K11&gt;D24,"",J84*Loans!C7/12))</f>
        <v/>
      </c>
      <c r="L24" s="15" t="str">
        <f aca="false">IF(OR(C24&lt;&gt;"Closed",D24="",F24=""),"",IF(L11&gt;D24,"",K84*Loans!C7/12))</f>
        <v/>
      </c>
      <c r="M24" s="15" t="str">
        <f aca="false">IF(OR(C24&lt;&gt;"Closed",D24="",F24=""),"",IF(M11&gt;D24,"",L84*Loans!C7/12))</f>
        <v/>
      </c>
      <c r="N24" s="15" t="str">
        <f aca="false">IF(OR(C24&lt;&gt;"Closed",D24="",F24=""),"",IF(N11&gt;D24,"",M84*Loans!C7/12))</f>
        <v/>
      </c>
      <c r="O24" s="15" t="str">
        <f aca="false">IF(OR(C24&lt;&gt;"Closed",D24="",F24=""),"",IF(O11&gt;D24,"",N84*Loans!C7/12))</f>
        <v/>
      </c>
      <c r="P24" s="15" t="str">
        <f aca="false">IF(OR(C24&lt;&gt;"Closed",D24="",F24=""),"",IF(P11&gt;D24,"",O84*Loans!C7/12))</f>
        <v/>
      </c>
      <c r="Q24" s="15" t="str">
        <f aca="false">IF(OR(C24&lt;&gt;"Closed",D24="",F24=""),"",IF(Q11&gt;D24,"",P84*Loans!C7/12))</f>
        <v/>
      </c>
      <c r="R24" s="15" t="str">
        <f aca="false">IF(OR(C24&lt;&gt;"Closed",D24="",F24=""),"",IF(R11&gt;D24,"",Q84*Loans!C7/12))</f>
        <v/>
      </c>
      <c r="S24" s="15" t="str">
        <f aca="false">IF(OR(C24&lt;&gt;"Closed",D24="",F24=""),"",IF(S11&gt;D24,"",R84*Loans!C7/12))</f>
        <v/>
      </c>
      <c r="T24" s="15" t="str">
        <f aca="false">IF(OR(C24&lt;&gt;"Closed",D24="",F24=""),"",IF(T11&gt;D24,"",S84*Loans!C7/12))</f>
        <v/>
      </c>
      <c r="U24" s="15" t="str">
        <f aca="false">IF(OR(C24&lt;&gt;"Closed",D24="",F24=""),"",IF(U11&gt;D24,"",T84*Loans!C7/12))</f>
        <v/>
      </c>
      <c r="V24" s="15" t="str">
        <f aca="false">IF(OR(C24&lt;&gt;"Closed",D24="",F24=""),"",IF(V11&gt;D24,"",U84*Loans!C7/12))</f>
        <v/>
      </c>
      <c r="W24" s="15" t="str">
        <f aca="false">IF(OR(C24&lt;&gt;"Closed",D24="",F24=""),"",IF(W11&gt;D24,"",V84*Loans!C7/12))</f>
        <v/>
      </c>
      <c r="X24" s="15" t="str">
        <f aca="false">IF(OR(C24&lt;&gt;"Closed",D24="",F24=""),"",IF(X11&gt;D24,"",W84*Loans!C7/12))</f>
        <v/>
      </c>
      <c r="Y24" s="15" t="str">
        <f aca="false">IF(OR(C24&lt;&gt;"Closed",D24="",F24=""),"",IF(Y11&gt;D24,"",X84*Loans!C7/12))</f>
        <v/>
      </c>
      <c r="Z24" s="15" t="str">
        <f aca="false">IF(OR(C24&lt;&gt;"Closed",D24="",F24=""),"",IF(Z11&gt;D24,"",Y84*Loans!C7/12))</f>
        <v/>
      </c>
      <c r="AA24" s="15" t="str">
        <f aca="false">IF(OR(C24&lt;&gt;"Closed",D24="",F24=""),"",IF(AA11&gt;D24,"",Z84*Loans!C7/12))</f>
        <v/>
      </c>
      <c r="AB24" s="15" t="str">
        <f aca="false">IF(OR(C24&lt;&gt;"Closed",D24="",F24=""),"",IF(AB11&gt;D24,"",AA84*Loans!C7/12))</f>
        <v/>
      </c>
      <c r="AC24" s="15" t="str">
        <f aca="false">IF(OR(C24&lt;&gt;"Closed",D24="",F24=""),"",IF(AC11&gt;D24,"",AB84*Loans!C7/12))</f>
        <v/>
      </c>
      <c r="AD24" s="15" t="str">
        <f aca="false">IF(OR(C24&lt;&gt;"Closed",D24="",F24=""),"",IF(AD11&gt;D24,"",AC84*Loans!C7/12))</f>
        <v/>
      </c>
      <c r="AE24" s="15" t="str">
        <f aca="false">IF(OR(C24&lt;&gt;"Closed",D24="",F24=""),"",IF(AE11&gt;D24,"",AD84*Loans!C7/12))</f>
        <v/>
      </c>
      <c r="AF24" s="15" t="str">
        <f aca="false">IF(OR(C24&lt;&gt;"Closed",D24="",F24=""),"",IF(AF11&gt;D24,"",AE84*Loans!C7/12))</f>
        <v/>
      </c>
      <c r="AG24" s="15" t="str">
        <f aca="false">IF(OR(C24&lt;&gt;"Closed",D24="",F24=""),"",IF(AG11&gt;D24,"",AF84*Loans!C7/12))</f>
        <v/>
      </c>
      <c r="AH24" s="15" t="str">
        <f aca="false">IF(OR(C24&lt;&gt;"Closed",D24="",F24=""),"",IF(AH11&gt;D24,"",AG84*Loans!C7/12))</f>
        <v/>
      </c>
      <c r="AI24" s="15" t="str">
        <f aca="false">IF(OR(C24&lt;&gt;"Closed",D24="",F24=""),"",IF(AI11&gt;D24,"",AH84*Loans!C7/12))</f>
        <v/>
      </c>
      <c r="AJ24" s="15" t="str">
        <f aca="false">IF(OR(C24&lt;&gt;"Closed",D24="",F24=""),"",IF(AJ11&gt;D24,"",AI84*Loans!C7/12))</f>
        <v/>
      </c>
      <c r="AK24" s="15" t="str">
        <f aca="false">IF(OR(C24&lt;&gt;"Closed",D24="",F24=""),"",IF(AK11&gt;D24,"",AJ84*Loans!C7/12))</f>
        <v/>
      </c>
      <c r="AL24" s="15" t="str">
        <f aca="false">IF(OR(C24&lt;&gt;"Closed",D24="",F24=""),"",IF(AL11&gt;D24,"",AK84*Loans!C7/12))</f>
        <v/>
      </c>
      <c r="AM24" s="15" t="str">
        <f aca="false">IF(OR(C24&lt;&gt;"Closed",D24="",F24=""),"",IF(AM11&gt;D24,"",AL84*Loans!C7/12))</f>
        <v/>
      </c>
      <c r="AN24" s="15" t="str">
        <f aca="false">IF(OR(C24&lt;&gt;"Closed",D24="",F24=""),"",IF(AN11&gt;D24,"",AM84*Loans!C7/12))</f>
        <v/>
      </c>
      <c r="AO24" s="15" t="str">
        <f aca="false">IF(OR(C24&lt;&gt;"Closed",D24="",F24=""),"",IF(AO11&gt;D24,"",AN84*Loans!C7/12))</f>
        <v/>
      </c>
      <c r="AP24" s="15" t="str">
        <f aca="false">IF(OR(C24&lt;&gt;"Closed",D24="",F24=""),"",IF(AP11&gt;D24,"",AO84*Loans!C7/12))</f>
        <v/>
      </c>
      <c r="AQ24" s="15" t="str">
        <f aca="false">IF(OR(C24&lt;&gt;"Closed",D24="",F24=""),"",IF(AQ11&gt;D24,"",AP84*Loans!C7/12))</f>
        <v/>
      </c>
      <c r="AR24" s="15" t="str">
        <f aca="false">IF(OR(C24&lt;&gt;"Closed",D24="",F24=""),"",IF(AR11&gt;D24,"",AQ84*Loans!C7/12))</f>
        <v/>
      </c>
      <c r="AS24" s="15" t="str">
        <f aca="false">IF(OR(C24&lt;&gt;"Closed",D24="",F24=""),"",IF(AS11&gt;D24,"",AR84*Loans!C7/12))</f>
        <v/>
      </c>
      <c r="AT24" s="15" t="str">
        <f aca="false">IF(OR(C24&lt;&gt;"Closed",D24="",F24=""),"",IF(AT11&gt;D24,"",AS84*Loans!C7/12))</f>
        <v/>
      </c>
      <c r="AU24" s="15" t="str">
        <f aca="false">IF(OR(C24&lt;&gt;"Closed",D24="",F24=""),"",IF(AU11&gt;D24,"",AT84*Loans!C7/12))</f>
        <v/>
      </c>
      <c r="AV24" s="15" t="str">
        <f aca="false">IF(OR(C24&lt;&gt;"Closed",D24="",F24=""),"",IF(AV11&gt;D24,"",AU84*Loans!C7/12))</f>
        <v/>
      </c>
      <c r="AW24" s="15" t="str">
        <f aca="false">IF(OR(C24&lt;&gt;"Closed",D24="",F24=""),"",IF(AW11&gt;D24,"",AV84*Loans!C7/12))</f>
        <v/>
      </c>
      <c r="AX24" s="15" t="str">
        <f aca="false">IF(OR(C24&lt;&gt;"Closed",D24="",F24=""),"",IF(AX11&gt;D24,"",AW84*Loans!C7/12))</f>
        <v/>
      </c>
      <c r="AY24" s="15" t="str">
        <f aca="false">IF(OR(C24&lt;&gt;"Closed",D24="",F24=""),"",IF(AY11&gt;D24,"",AX84*Loans!C7/12))</f>
        <v/>
      </c>
      <c r="AZ24" s="15" t="str">
        <f aca="false">IF(OR(C24&lt;&gt;"Closed",D24="",F24=""),"",IF(AZ11&gt;D24,"",AY84*Loans!C7/12))</f>
        <v/>
      </c>
      <c r="BA24" s="15" t="str">
        <f aca="false">IF(OR(C24&lt;&gt;"Closed",D24="",F24=""),"",IF(BA11&gt;D24,"",AZ84*Loans!C7/12))</f>
        <v/>
      </c>
      <c r="BB24" s="15" t="str">
        <f aca="false">IF(OR(C24&lt;&gt;"Closed",D24="",F24=""),"",IF(BB11&gt;D24,"",BA84*Loans!C7/12))</f>
        <v/>
      </c>
      <c r="BC24" s="15" t="str">
        <f aca="false">IF(OR(C24&lt;&gt;"Closed",D24="",F24=""),"",IF(BC11&gt;D24,"",BB84*Loans!C7/12))</f>
        <v/>
      </c>
      <c r="BD24" s="15" t="str">
        <f aca="false">IF(OR(C24&lt;&gt;"Closed",D24="",F24=""),"",IF(BD11&gt;D24,"",BC84*Loans!C7/12))</f>
        <v/>
      </c>
      <c r="BE24" s="15" t="str">
        <f aca="false">IF(OR(C24&lt;&gt;"Closed",D24="",F24=""),"",IF(BE11&gt;D24,"",BD84*Loans!C7/12))</f>
        <v/>
      </c>
      <c r="BF24" s="15" t="str">
        <f aca="false">IF(OR(C24&lt;&gt;"Closed",D24="",F24=""),"",IF(BF11&gt;D24,"",BE84*Loans!C7/12))</f>
        <v/>
      </c>
      <c r="BG24" s="15" t="str">
        <f aca="false">IF(OR(C24&lt;&gt;"Closed",D24="",F24=""),"",IF(BG11&gt;D24,"",BF84*Loans!C7/12))</f>
        <v/>
      </c>
      <c r="BH24" s="15" t="str">
        <f aca="false">IF(OR(C24&lt;&gt;"Closed",D24="",F24=""),"",IF(BH11&gt;D24,"",BG84*Loans!C7/12))</f>
        <v/>
      </c>
      <c r="BI24" s="15" t="str">
        <f aca="false">IF(OR(C24&lt;&gt;"Closed",D24="",F24=""),"",IF(BI11&gt;D24,"",BH84*Loans!C7/12))</f>
        <v/>
      </c>
      <c r="BJ24" s="15" t="str">
        <f aca="false">IF(OR(C24&lt;&gt;"Closed",D24="",F24=""),"",IF(BJ11&gt;D24,"",BI84*Loans!C7/12))</f>
        <v/>
      </c>
      <c r="BK24" s="15" t="str">
        <f aca="false">IF(OR(C24&lt;&gt;"Closed",D24="",F24=""),"",IF(BK11&gt;D24,"",BJ84*Loans!C7/12))</f>
        <v/>
      </c>
      <c r="BL24" s="15" t="str">
        <f aca="false">IF(OR(C24&lt;&gt;"Closed",D24="",F24=""),"",IF(BL11&gt;D24,"",BK84*Loans!C7/12))</f>
        <v/>
      </c>
      <c r="BM24" s="15" t="str">
        <f aca="false">IF(OR(C24&lt;&gt;"Closed",D24="",F24=""),"",IF(BM11&gt;D24,"",BL84*Loans!C7/12))</f>
        <v/>
      </c>
      <c r="BN24" s="15" t="str">
        <f aca="false">IF(OR(C24&lt;&gt;"Closed",D24="",F24=""),"",IF(BN11&gt;D24,"",BM84*Loans!C7/12))</f>
        <v/>
      </c>
      <c r="BO24" s="15" t="str">
        <f aca="false">IF(OR(C24&lt;&gt;"Closed",D24="",F24=""),"",IF(BO11&gt;D24,"",BN84*Loans!C7/12))</f>
        <v/>
      </c>
      <c r="BP24" s="15" t="str">
        <f aca="false">IF(OR(C24&lt;&gt;"Closed",D24="",F24=""),"",IF(BP11&gt;D24,"",BO84*Loans!C7/12))</f>
        <v/>
      </c>
    </row>
    <row r="25" customFormat="false" ht="15" hidden="false" customHeight="false" outlineLevel="0" collapsed="false">
      <c r="A25" s="29" t="str">
        <f aca="false">IF(Loans!A25="","",Loans!A25)</f>
        <v/>
      </c>
      <c r="B25" s="29" t="str">
        <f aca="false">IF(Loans!B25="","",Loans!B25)</f>
        <v/>
      </c>
      <c r="C25" s="29" t="str">
        <f aca="false">IF(Loans!C25="","",Loans!C25)</f>
        <v/>
      </c>
      <c r="D25" s="16" t="str">
        <f aca="false">IF(Loans!I25="","",Loans!I25)</f>
        <v/>
      </c>
      <c r="E25" s="17" t="str">
        <f aca="false">IF(Loans!E25="","",Loans!E25)</f>
        <v/>
      </c>
      <c r="F25" s="15" t="str">
        <f aca="false">IF(Loans!F25="","",Loans!F25)</f>
        <v/>
      </c>
      <c r="G25" s="15" t="str">
        <f aca="false">IF(OR(C25&lt;&gt;"Closed",D25="",F25=""),"",PMT(Loans!C7/12,D25,-F25))</f>
        <v/>
      </c>
      <c r="H25" s="15" t="str">
        <f aca="false">IF(C25&lt;&gt;"Closed","",SUM(I25:BP25))</f>
        <v/>
      </c>
      <c r="I25" s="15" t="str">
        <f aca="false">IF(OR(C25&lt;&gt;"Closed",D25="",F25=""),"",IF(I11&gt;D25,"",F25*Loans!C7/12))</f>
        <v/>
      </c>
      <c r="J25" s="15" t="str">
        <f aca="false">IF(OR(C25&lt;&gt;"Closed",D25="",F25=""),"",IF(J11&gt;D25,"",I85*Loans!C7/12))</f>
        <v/>
      </c>
      <c r="K25" s="15" t="str">
        <f aca="false">IF(OR(C25&lt;&gt;"Closed",D25="",F25=""),"",IF(K11&gt;D25,"",J85*Loans!C7/12))</f>
        <v/>
      </c>
      <c r="L25" s="15" t="str">
        <f aca="false">IF(OR(C25&lt;&gt;"Closed",D25="",F25=""),"",IF(L11&gt;D25,"",K85*Loans!C7/12))</f>
        <v/>
      </c>
      <c r="M25" s="15" t="str">
        <f aca="false">IF(OR(C25&lt;&gt;"Closed",D25="",F25=""),"",IF(M11&gt;D25,"",L85*Loans!C7/12))</f>
        <v/>
      </c>
      <c r="N25" s="15" t="str">
        <f aca="false">IF(OR(C25&lt;&gt;"Closed",D25="",F25=""),"",IF(N11&gt;D25,"",M85*Loans!C7/12))</f>
        <v/>
      </c>
      <c r="O25" s="15" t="str">
        <f aca="false">IF(OR(C25&lt;&gt;"Closed",D25="",F25=""),"",IF(O11&gt;D25,"",N85*Loans!C7/12))</f>
        <v/>
      </c>
      <c r="P25" s="15" t="str">
        <f aca="false">IF(OR(C25&lt;&gt;"Closed",D25="",F25=""),"",IF(P11&gt;D25,"",O85*Loans!C7/12))</f>
        <v/>
      </c>
      <c r="Q25" s="15" t="str">
        <f aca="false">IF(OR(C25&lt;&gt;"Closed",D25="",F25=""),"",IF(Q11&gt;D25,"",P85*Loans!C7/12))</f>
        <v/>
      </c>
      <c r="R25" s="15" t="str">
        <f aca="false">IF(OR(C25&lt;&gt;"Closed",D25="",F25=""),"",IF(R11&gt;D25,"",Q85*Loans!C7/12))</f>
        <v/>
      </c>
      <c r="S25" s="15" t="str">
        <f aca="false">IF(OR(C25&lt;&gt;"Closed",D25="",F25=""),"",IF(S11&gt;D25,"",R85*Loans!C7/12))</f>
        <v/>
      </c>
      <c r="T25" s="15" t="str">
        <f aca="false">IF(OR(C25&lt;&gt;"Closed",D25="",F25=""),"",IF(T11&gt;D25,"",S85*Loans!C7/12))</f>
        <v/>
      </c>
      <c r="U25" s="15" t="str">
        <f aca="false">IF(OR(C25&lt;&gt;"Closed",D25="",F25=""),"",IF(U11&gt;D25,"",T85*Loans!C7/12))</f>
        <v/>
      </c>
      <c r="V25" s="15" t="str">
        <f aca="false">IF(OR(C25&lt;&gt;"Closed",D25="",F25=""),"",IF(V11&gt;D25,"",U85*Loans!C7/12))</f>
        <v/>
      </c>
      <c r="W25" s="15" t="str">
        <f aca="false">IF(OR(C25&lt;&gt;"Closed",D25="",F25=""),"",IF(W11&gt;D25,"",V85*Loans!C7/12))</f>
        <v/>
      </c>
      <c r="X25" s="15" t="str">
        <f aca="false">IF(OR(C25&lt;&gt;"Closed",D25="",F25=""),"",IF(X11&gt;D25,"",W85*Loans!C7/12))</f>
        <v/>
      </c>
      <c r="Y25" s="15" t="str">
        <f aca="false">IF(OR(C25&lt;&gt;"Closed",D25="",F25=""),"",IF(Y11&gt;D25,"",X85*Loans!C7/12))</f>
        <v/>
      </c>
      <c r="Z25" s="15" t="str">
        <f aca="false">IF(OR(C25&lt;&gt;"Closed",D25="",F25=""),"",IF(Z11&gt;D25,"",Y85*Loans!C7/12))</f>
        <v/>
      </c>
      <c r="AA25" s="15" t="str">
        <f aca="false">IF(OR(C25&lt;&gt;"Closed",D25="",F25=""),"",IF(AA11&gt;D25,"",Z85*Loans!C7/12))</f>
        <v/>
      </c>
      <c r="AB25" s="15" t="str">
        <f aca="false">IF(OR(C25&lt;&gt;"Closed",D25="",F25=""),"",IF(AB11&gt;D25,"",AA85*Loans!C7/12))</f>
        <v/>
      </c>
      <c r="AC25" s="15" t="str">
        <f aca="false">IF(OR(C25&lt;&gt;"Closed",D25="",F25=""),"",IF(AC11&gt;D25,"",AB85*Loans!C7/12))</f>
        <v/>
      </c>
      <c r="AD25" s="15" t="str">
        <f aca="false">IF(OR(C25&lt;&gt;"Closed",D25="",F25=""),"",IF(AD11&gt;D25,"",AC85*Loans!C7/12))</f>
        <v/>
      </c>
      <c r="AE25" s="15" t="str">
        <f aca="false">IF(OR(C25&lt;&gt;"Closed",D25="",F25=""),"",IF(AE11&gt;D25,"",AD85*Loans!C7/12))</f>
        <v/>
      </c>
      <c r="AF25" s="15" t="str">
        <f aca="false">IF(OR(C25&lt;&gt;"Closed",D25="",F25=""),"",IF(AF11&gt;D25,"",AE85*Loans!C7/12))</f>
        <v/>
      </c>
      <c r="AG25" s="15" t="str">
        <f aca="false">IF(OR(C25&lt;&gt;"Closed",D25="",F25=""),"",IF(AG11&gt;D25,"",AF85*Loans!C7/12))</f>
        <v/>
      </c>
      <c r="AH25" s="15" t="str">
        <f aca="false">IF(OR(C25&lt;&gt;"Closed",D25="",F25=""),"",IF(AH11&gt;D25,"",AG85*Loans!C7/12))</f>
        <v/>
      </c>
      <c r="AI25" s="15" t="str">
        <f aca="false">IF(OR(C25&lt;&gt;"Closed",D25="",F25=""),"",IF(AI11&gt;D25,"",AH85*Loans!C7/12))</f>
        <v/>
      </c>
      <c r="AJ25" s="15" t="str">
        <f aca="false">IF(OR(C25&lt;&gt;"Closed",D25="",F25=""),"",IF(AJ11&gt;D25,"",AI85*Loans!C7/12))</f>
        <v/>
      </c>
      <c r="AK25" s="15" t="str">
        <f aca="false">IF(OR(C25&lt;&gt;"Closed",D25="",F25=""),"",IF(AK11&gt;D25,"",AJ85*Loans!C7/12))</f>
        <v/>
      </c>
      <c r="AL25" s="15" t="str">
        <f aca="false">IF(OR(C25&lt;&gt;"Closed",D25="",F25=""),"",IF(AL11&gt;D25,"",AK85*Loans!C7/12))</f>
        <v/>
      </c>
      <c r="AM25" s="15" t="str">
        <f aca="false">IF(OR(C25&lt;&gt;"Closed",D25="",F25=""),"",IF(AM11&gt;D25,"",AL85*Loans!C7/12))</f>
        <v/>
      </c>
      <c r="AN25" s="15" t="str">
        <f aca="false">IF(OR(C25&lt;&gt;"Closed",D25="",F25=""),"",IF(AN11&gt;D25,"",AM85*Loans!C7/12))</f>
        <v/>
      </c>
      <c r="AO25" s="15" t="str">
        <f aca="false">IF(OR(C25&lt;&gt;"Closed",D25="",F25=""),"",IF(AO11&gt;D25,"",AN85*Loans!C7/12))</f>
        <v/>
      </c>
      <c r="AP25" s="15" t="str">
        <f aca="false">IF(OR(C25&lt;&gt;"Closed",D25="",F25=""),"",IF(AP11&gt;D25,"",AO85*Loans!C7/12))</f>
        <v/>
      </c>
      <c r="AQ25" s="15" t="str">
        <f aca="false">IF(OR(C25&lt;&gt;"Closed",D25="",F25=""),"",IF(AQ11&gt;D25,"",AP85*Loans!C7/12))</f>
        <v/>
      </c>
      <c r="AR25" s="15" t="str">
        <f aca="false">IF(OR(C25&lt;&gt;"Closed",D25="",F25=""),"",IF(AR11&gt;D25,"",AQ85*Loans!C7/12))</f>
        <v/>
      </c>
      <c r="AS25" s="15" t="str">
        <f aca="false">IF(OR(C25&lt;&gt;"Closed",D25="",F25=""),"",IF(AS11&gt;D25,"",AR85*Loans!C7/12))</f>
        <v/>
      </c>
      <c r="AT25" s="15" t="str">
        <f aca="false">IF(OR(C25&lt;&gt;"Closed",D25="",F25=""),"",IF(AT11&gt;D25,"",AS85*Loans!C7/12))</f>
        <v/>
      </c>
      <c r="AU25" s="15" t="str">
        <f aca="false">IF(OR(C25&lt;&gt;"Closed",D25="",F25=""),"",IF(AU11&gt;D25,"",AT85*Loans!C7/12))</f>
        <v/>
      </c>
      <c r="AV25" s="15" t="str">
        <f aca="false">IF(OR(C25&lt;&gt;"Closed",D25="",F25=""),"",IF(AV11&gt;D25,"",AU85*Loans!C7/12))</f>
        <v/>
      </c>
      <c r="AW25" s="15" t="str">
        <f aca="false">IF(OR(C25&lt;&gt;"Closed",D25="",F25=""),"",IF(AW11&gt;D25,"",AV85*Loans!C7/12))</f>
        <v/>
      </c>
      <c r="AX25" s="15" t="str">
        <f aca="false">IF(OR(C25&lt;&gt;"Closed",D25="",F25=""),"",IF(AX11&gt;D25,"",AW85*Loans!C7/12))</f>
        <v/>
      </c>
      <c r="AY25" s="15" t="str">
        <f aca="false">IF(OR(C25&lt;&gt;"Closed",D25="",F25=""),"",IF(AY11&gt;D25,"",AX85*Loans!C7/12))</f>
        <v/>
      </c>
      <c r="AZ25" s="15" t="str">
        <f aca="false">IF(OR(C25&lt;&gt;"Closed",D25="",F25=""),"",IF(AZ11&gt;D25,"",AY85*Loans!C7/12))</f>
        <v/>
      </c>
      <c r="BA25" s="15" t="str">
        <f aca="false">IF(OR(C25&lt;&gt;"Closed",D25="",F25=""),"",IF(BA11&gt;D25,"",AZ85*Loans!C7/12))</f>
        <v/>
      </c>
      <c r="BB25" s="15" t="str">
        <f aca="false">IF(OR(C25&lt;&gt;"Closed",D25="",F25=""),"",IF(BB11&gt;D25,"",BA85*Loans!C7/12))</f>
        <v/>
      </c>
      <c r="BC25" s="15" t="str">
        <f aca="false">IF(OR(C25&lt;&gt;"Closed",D25="",F25=""),"",IF(BC11&gt;D25,"",BB85*Loans!C7/12))</f>
        <v/>
      </c>
      <c r="BD25" s="15" t="str">
        <f aca="false">IF(OR(C25&lt;&gt;"Closed",D25="",F25=""),"",IF(BD11&gt;D25,"",BC85*Loans!C7/12))</f>
        <v/>
      </c>
      <c r="BE25" s="15" t="str">
        <f aca="false">IF(OR(C25&lt;&gt;"Closed",D25="",F25=""),"",IF(BE11&gt;D25,"",BD85*Loans!C7/12))</f>
        <v/>
      </c>
      <c r="BF25" s="15" t="str">
        <f aca="false">IF(OR(C25&lt;&gt;"Closed",D25="",F25=""),"",IF(BF11&gt;D25,"",BE85*Loans!C7/12))</f>
        <v/>
      </c>
      <c r="BG25" s="15" t="str">
        <f aca="false">IF(OR(C25&lt;&gt;"Closed",D25="",F25=""),"",IF(BG11&gt;D25,"",BF85*Loans!C7/12))</f>
        <v/>
      </c>
      <c r="BH25" s="15" t="str">
        <f aca="false">IF(OR(C25&lt;&gt;"Closed",D25="",F25=""),"",IF(BH11&gt;D25,"",BG85*Loans!C7/12))</f>
        <v/>
      </c>
      <c r="BI25" s="15" t="str">
        <f aca="false">IF(OR(C25&lt;&gt;"Closed",D25="",F25=""),"",IF(BI11&gt;D25,"",BH85*Loans!C7/12))</f>
        <v/>
      </c>
      <c r="BJ25" s="15" t="str">
        <f aca="false">IF(OR(C25&lt;&gt;"Closed",D25="",F25=""),"",IF(BJ11&gt;D25,"",BI85*Loans!C7/12))</f>
        <v/>
      </c>
      <c r="BK25" s="15" t="str">
        <f aca="false">IF(OR(C25&lt;&gt;"Closed",D25="",F25=""),"",IF(BK11&gt;D25,"",BJ85*Loans!C7/12))</f>
        <v/>
      </c>
      <c r="BL25" s="15" t="str">
        <f aca="false">IF(OR(C25&lt;&gt;"Closed",D25="",F25=""),"",IF(BL11&gt;D25,"",BK85*Loans!C7/12))</f>
        <v/>
      </c>
      <c r="BM25" s="15" t="str">
        <f aca="false">IF(OR(C25&lt;&gt;"Closed",D25="",F25=""),"",IF(BM11&gt;D25,"",BL85*Loans!C7/12))</f>
        <v/>
      </c>
      <c r="BN25" s="15" t="str">
        <f aca="false">IF(OR(C25&lt;&gt;"Closed",D25="",F25=""),"",IF(BN11&gt;D25,"",BM85*Loans!C7/12))</f>
        <v/>
      </c>
      <c r="BO25" s="15" t="str">
        <f aca="false">IF(OR(C25&lt;&gt;"Closed",D25="",F25=""),"",IF(BO11&gt;D25,"",BN85*Loans!C7/12))</f>
        <v/>
      </c>
      <c r="BP25" s="15" t="str">
        <f aca="false">IF(OR(C25&lt;&gt;"Closed",D25="",F25=""),"",IF(BP11&gt;D25,"",BO85*Loans!C7/12))</f>
        <v/>
      </c>
    </row>
    <row r="26" customFormat="false" ht="15" hidden="false" customHeight="false" outlineLevel="0" collapsed="false">
      <c r="A26" s="29" t="str">
        <f aca="false">IF(Loans!A26="","",Loans!A26)</f>
        <v/>
      </c>
      <c r="B26" s="29" t="str">
        <f aca="false">IF(Loans!B26="","",Loans!B26)</f>
        <v/>
      </c>
      <c r="C26" s="29" t="str">
        <f aca="false">IF(Loans!C26="","",Loans!C26)</f>
        <v/>
      </c>
      <c r="D26" s="16" t="str">
        <f aca="false">IF(Loans!I26="","",Loans!I26)</f>
        <v/>
      </c>
      <c r="E26" s="17" t="str">
        <f aca="false">IF(Loans!E26="","",Loans!E26)</f>
        <v/>
      </c>
      <c r="F26" s="15" t="str">
        <f aca="false">IF(Loans!F26="","",Loans!F26)</f>
        <v/>
      </c>
      <c r="G26" s="15" t="str">
        <f aca="false">IF(OR(C26&lt;&gt;"Closed",D26="",F26=""),"",PMT(Loans!C7/12,D26,-F26))</f>
        <v/>
      </c>
      <c r="H26" s="15" t="str">
        <f aca="false">IF(C26&lt;&gt;"Closed","",SUM(I26:BP26))</f>
        <v/>
      </c>
      <c r="I26" s="15" t="str">
        <f aca="false">IF(OR(C26&lt;&gt;"Closed",D26="",F26=""),"",IF(I11&gt;D26,"",F26*Loans!C7/12))</f>
        <v/>
      </c>
      <c r="J26" s="15" t="str">
        <f aca="false">IF(OR(C26&lt;&gt;"Closed",D26="",F26=""),"",IF(J11&gt;D26,"",I86*Loans!C7/12))</f>
        <v/>
      </c>
      <c r="K26" s="15" t="str">
        <f aca="false">IF(OR(C26&lt;&gt;"Closed",D26="",F26=""),"",IF(K11&gt;D26,"",J86*Loans!C7/12))</f>
        <v/>
      </c>
      <c r="L26" s="15" t="str">
        <f aca="false">IF(OR(C26&lt;&gt;"Closed",D26="",F26=""),"",IF(L11&gt;D26,"",K86*Loans!C7/12))</f>
        <v/>
      </c>
      <c r="M26" s="15" t="str">
        <f aca="false">IF(OR(C26&lt;&gt;"Closed",D26="",F26=""),"",IF(M11&gt;D26,"",L86*Loans!C7/12))</f>
        <v/>
      </c>
      <c r="N26" s="15" t="str">
        <f aca="false">IF(OR(C26&lt;&gt;"Closed",D26="",F26=""),"",IF(N11&gt;D26,"",M86*Loans!C7/12))</f>
        <v/>
      </c>
      <c r="O26" s="15" t="str">
        <f aca="false">IF(OR(C26&lt;&gt;"Closed",D26="",F26=""),"",IF(O11&gt;D26,"",N86*Loans!C7/12))</f>
        <v/>
      </c>
      <c r="P26" s="15" t="str">
        <f aca="false">IF(OR(C26&lt;&gt;"Closed",D26="",F26=""),"",IF(P11&gt;D26,"",O86*Loans!C7/12))</f>
        <v/>
      </c>
      <c r="Q26" s="15" t="str">
        <f aca="false">IF(OR(C26&lt;&gt;"Closed",D26="",F26=""),"",IF(Q11&gt;D26,"",P86*Loans!C7/12))</f>
        <v/>
      </c>
      <c r="R26" s="15" t="str">
        <f aca="false">IF(OR(C26&lt;&gt;"Closed",D26="",F26=""),"",IF(R11&gt;D26,"",Q86*Loans!C7/12))</f>
        <v/>
      </c>
      <c r="S26" s="15" t="str">
        <f aca="false">IF(OR(C26&lt;&gt;"Closed",D26="",F26=""),"",IF(S11&gt;D26,"",R86*Loans!C7/12))</f>
        <v/>
      </c>
      <c r="T26" s="15" t="str">
        <f aca="false">IF(OR(C26&lt;&gt;"Closed",D26="",F26=""),"",IF(T11&gt;D26,"",S86*Loans!C7/12))</f>
        <v/>
      </c>
      <c r="U26" s="15" t="str">
        <f aca="false">IF(OR(C26&lt;&gt;"Closed",D26="",F26=""),"",IF(U11&gt;D26,"",T86*Loans!C7/12))</f>
        <v/>
      </c>
      <c r="V26" s="15" t="str">
        <f aca="false">IF(OR(C26&lt;&gt;"Closed",D26="",F26=""),"",IF(V11&gt;D26,"",U86*Loans!C7/12))</f>
        <v/>
      </c>
      <c r="W26" s="15" t="str">
        <f aca="false">IF(OR(C26&lt;&gt;"Closed",D26="",F26=""),"",IF(W11&gt;D26,"",V86*Loans!C7/12))</f>
        <v/>
      </c>
      <c r="X26" s="15" t="str">
        <f aca="false">IF(OR(C26&lt;&gt;"Closed",D26="",F26=""),"",IF(X11&gt;D26,"",W86*Loans!C7/12))</f>
        <v/>
      </c>
      <c r="Y26" s="15" t="str">
        <f aca="false">IF(OR(C26&lt;&gt;"Closed",D26="",F26=""),"",IF(Y11&gt;D26,"",X86*Loans!C7/12))</f>
        <v/>
      </c>
      <c r="Z26" s="15" t="str">
        <f aca="false">IF(OR(C26&lt;&gt;"Closed",D26="",F26=""),"",IF(Z11&gt;D26,"",Y86*Loans!C7/12))</f>
        <v/>
      </c>
      <c r="AA26" s="15" t="str">
        <f aca="false">IF(OR(C26&lt;&gt;"Closed",D26="",F26=""),"",IF(AA11&gt;D26,"",Z86*Loans!C7/12))</f>
        <v/>
      </c>
      <c r="AB26" s="15" t="str">
        <f aca="false">IF(OR(C26&lt;&gt;"Closed",D26="",F26=""),"",IF(AB11&gt;D26,"",AA86*Loans!C7/12))</f>
        <v/>
      </c>
      <c r="AC26" s="15" t="str">
        <f aca="false">IF(OR(C26&lt;&gt;"Closed",D26="",F26=""),"",IF(AC11&gt;D26,"",AB86*Loans!C7/12))</f>
        <v/>
      </c>
      <c r="AD26" s="15" t="str">
        <f aca="false">IF(OR(C26&lt;&gt;"Closed",D26="",F26=""),"",IF(AD11&gt;D26,"",AC86*Loans!C7/12))</f>
        <v/>
      </c>
      <c r="AE26" s="15" t="str">
        <f aca="false">IF(OR(C26&lt;&gt;"Closed",D26="",F26=""),"",IF(AE11&gt;D26,"",AD86*Loans!C7/12))</f>
        <v/>
      </c>
      <c r="AF26" s="15" t="str">
        <f aca="false">IF(OR(C26&lt;&gt;"Closed",D26="",F26=""),"",IF(AF11&gt;D26,"",AE86*Loans!C7/12))</f>
        <v/>
      </c>
      <c r="AG26" s="15" t="str">
        <f aca="false">IF(OR(C26&lt;&gt;"Closed",D26="",F26=""),"",IF(AG11&gt;D26,"",AF86*Loans!C7/12))</f>
        <v/>
      </c>
      <c r="AH26" s="15" t="str">
        <f aca="false">IF(OR(C26&lt;&gt;"Closed",D26="",F26=""),"",IF(AH11&gt;D26,"",AG86*Loans!C7/12))</f>
        <v/>
      </c>
      <c r="AI26" s="15" t="str">
        <f aca="false">IF(OR(C26&lt;&gt;"Closed",D26="",F26=""),"",IF(AI11&gt;D26,"",AH86*Loans!C7/12))</f>
        <v/>
      </c>
      <c r="AJ26" s="15" t="str">
        <f aca="false">IF(OR(C26&lt;&gt;"Closed",D26="",F26=""),"",IF(AJ11&gt;D26,"",AI86*Loans!C7/12))</f>
        <v/>
      </c>
      <c r="AK26" s="15" t="str">
        <f aca="false">IF(OR(C26&lt;&gt;"Closed",D26="",F26=""),"",IF(AK11&gt;D26,"",AJ86*Loans!C7/12))</f>
        <v/>
      </c>
      <c r="AL26" s="15" t="str">
        <f aca="false">IF(OR(C26&lt;&gt;"Closed",D26="",F26=""),"",IF(AL11&gt;D26,"",AK86*Loans!C7/12))</f>
        <v/>
      </c>
      <c r="AM26" s="15" t="str">
        <f aca="false">IF(OR(C26&lt;&gt;"Closed",D26="",F26=""),"",IF(AM11&gt;D26,"",AL86*Loans!C7/12))</f>
        <v/>
      </c>
      <c r="AN26" s="15" t="str">
        <f aca="false">IF(OR(C26&lt;&gt;"Closed",D26="",F26=""),"",IF(AN11&gt;D26,"",AM86*Loans!C7/12))</f>
        <v/>
      </c>
      <c r="AO26" s="15" t="str">
        <f aca="false">IF(OR(C26&lt;&gt;"Closed",D26="",F26=""),"",IF(AO11&gt;D26,"",AN86*Loans!C7/12))</f>
        <v/>
      </c>
      <c r="AP26" s="15" t="str">
        <f aca="false">IF(OR(C26&lt;&gt;"Closed",D26="",F26=""),"",IF(AP11&gt;D26,"",AO86*Loans!C7/12))</f>
        <v/>
      </c>
      <c r="AQ26" s="15" t="str">
        <f aca="false">IF(OR(C26&lt;&gt;"Closed",D26="",F26=""),"",IF(AQ11&gt;D26,"",AP86*Loans!C7/12))</f>
        <v/>
      </c>
      <c r="AR26" s="15" t="str">
        <f aca="false">IF(OR(C26&lt;&gt;"Closed",D26="",F26=""),"",IF(AR11&gt;D26,"",AQ86*Loans!C7/12))</f>
        <v/>
      </c>
      <c r="AS26" s="15" t="str">
        <f aca="false">IF(OR(C26&lt;&gt;"Closed",D26="",F26=""),"",IF(AS11&gt;D26,"",AR86*Loans!C7/12))</f>
        <v/>
      </c>
      <c r="AT26" s="15" t="str">
        <f aca="false">IF(OR(C26&lt;&gt;"Closed",D26="",F26=""),"",IF(AT11&gt;D26,"",AS86*Loans!C7/12))</f>
        <v/>
      </c>
      <c r="AU26" s="15" t="str">
        <f aca="false">IF(OR(C26&lt;&gt;"Closed",D26="",F26=""),"",IF(AU11&gt;D26,"",AT86*Loans!C7/12))</f>
        <v/>
      </c>
      <c r="AV26" s="15" t="str">
        <f aca="false">IF(OR(C26&lt;&gt;"Closed",D26="",F26=""),"",IF(AV11&gt;D26,"",AU86*Loans!C7/12))</f>
        <v/>
      </c>
      <c r="AW26" s="15" t="str">
        <f aca="false">IF(OR(C26&lt;&gt;"Closed",D26="",F26=""),"",IF(AW11&gt;D26,"",AV86*Loans!C7/12))</f>
        <v/>
      </c>
      <c r="AX26" s="15" t="str">
        <f aca="false">IF(OR(C26&lt;&gt;"Closed",D26="",F26=""),"",IF(AX11&gt;D26,"",AW86*Loans!C7/12))</f>
        <v/>
      </c>
      <c r="AY26" s="15" t="str">
        <f aca="false">IF(OR(C26&lt;&gt;"Closed",D26="",F26=""),"",IF(AY11&gt;D26,"",AX86*Loans!C7/12))</f>
        <v/>
      </c>
      <c r="AZ26" s="15" t="str">
        <f aca="false">IF(OR(C26&lt;&gt;"Closed",D26="",F26=""),"",IF(AZ11&gt;D26,"",AY86*Loans!C7/12))</f>
        <v/>
      </c>
      <c r="BA26" s="15" t="str">
        <f aca="false">IF(OR(C26&lt;&gt;"Closed",D26="",F26=""),"",IF(BA11&gt;D26,"",AZ86*Loans!C7/12))</f>
        <v/>
      </c>
      <c r="BB26" s="15" t="str">
        <f aca="false">IF(OR(C26&lt;&gt;"Closed",D26="",F26=""),"",IF(BB11&gt;D26,"",BA86*Loans!C7/12))</f>
        <v/>
      </c>
      <c r="BC26" s="15" t="str">
        <f aca="false">IF(OR(C26&lt;&gt;"Closed",D26="",F26=""),"",IF(BC11&gt;D26,"",BB86*Loans!C7/12))</f>
        <v/>
      </c>
      <c r="BD26" s="15" t="str">
        <f aca="false">IF(OR(C26&lt;&gt;"Closed",D26="",F26=""),"",IF(BD11&gt;D26,"",BC86*Loans!C7/12))</f>
        <v/>
      </c>
      <c r="BE26" s="15" t="str">
        <f aca="false">IF(OR(C26&lt;&gt;"Closed",D26="",F26=""),"",IF(BE11&gt;D26,"",BD86*Loans!C7/12))</f>
        <v/>
      </c>
      <c r="BF26" s="15" t="str">
        <f aca="false">IF(OR(C26&lt;&gt;"Closed",D26="",F26=""),"",IF(BF11&gt;D26,"",BE86*Loans!C7/12))</f>
        <v/>
      </c>
      <c r="BG26" s="15" t="str">
        <f aca="false">IF(OR(C26&lt;&gt;"Closed",D26="",F26=""),"",IF(BG11&gt;D26,"",BF86*Loans!C7/12))</f>
        <v/>
      </c>
      <c r="BH26" s="15" t="str">
        <f aca="false">IF(OR(C26&lt;&gt;"Closed",D26="",F26=""),"",IF(BH11&gt;D26,"",BG86*Loans!C7/12))</f>
        <v/>
      </c>
      <c r="BI26" s="15" t="str">
        <f aca="false">IF(OR(C26&lt;&gt;"Closed",D26="",F26=""),"",IF(BI11&gt;D26,"",BH86*Loans!C7/12))</f>
        <v/>
      </c>
      <c r="BJ26" s="15" t="str">
        <f aca="false">IF(OR(C26&lt;&gt;"Closed",D26="",F26=""),"",IF(BJ11&gt;D26,"",BI86*Loans!C7/12))</f>
        <v/>
      </c>
      <c r="BK26" s="15" t="str">
        <f aca="false">IF(OR(C26&lt;&gt;"Closed",D26="",F26=""),"",IF(BK11&gt;D26,"",BJ86*Loans!C7/12))</f>
        <v/>
      </c>
      <c r="BL26" s="15" t="str">
        <f aca="false">IF(OR(C26&lt;&gt;"Closed",D26="",F26=""),"",IF(BL11&gt;D26,"",BK86*Loans!C7/12))</f>
        <v/>
      </c>
      <c r="BM26" s="15" t="str">
        <f aca="false">IF(OR(C26&lt;&gt;"Closed",D26="",F26=""),"",IF(BM11&gt;D26,"",BL86*Loans!C7/12))</f>
        <v/>
      </c>
      <c r="BN26" s="15" t="str">
        <f aca="false">IF(OR(C26&lt;&gt;"Closed",D26="",F26=""),"",IF(BN11&gt;D26,"",BM86*Loans!C7/12))</f>
        <v/>
      </c>
      <c r="BO26" s="15" t="str">
        <f aca="false">IF(OR(C26&lt;&gt;"Closed",D26="",F26=""),"",IF(BO11&gt;D26,"",BN86*Loans!C7/12))</f>
        <v/>
      </c>
      <c r="BP26" s="15" t="str">
        <f aca="false">IF(OR(C26&lt;&gt;"Closed",D26="",F26=""),"",IF(BP11&gt;D26,"",BO86*Loans!C7/12))</f>
        <v/>
      </c>
    </row>
    <row r="27" customFormat="false" ht="15" hidden="false" customHeight="false" outlineLevel="0" collapsed="false">
      <c r="A27" s="29" t="str">
        <f aca="false">IF(Loans!A27="","",Loans!A27)</f>
        <v/>
      </c>
      <c r="B27" s="29" t="str">
        <f aca="false">IF(Loans!B27="","",Loans!B27)</f>
        <v/>
      </c>
      <c r="C27" s="29" t="str">
        <f aca="false">IF(Loans!C27="","",Loans!C27)</f>
        <v/>
      </c>
      <c r="D27" s="16" t="str">
        <f aca="false">IF(Loans!I27="","",Loans!I27)</f>
        <v/>
      </c>
      <c r="E27" s="17" t="str">
        <f aca="false">IF(Loans!E27="","",Loans!E27)</f>
        <v/>
      </c>
      <c r="F27" s="15" t="str">
        <f aca="false">IF(Loans!F27="","",Loans!F27)</f>
        <v/>
      </c>
      <c r="G27" s="15" t="str">
        <f aca="false">IF(OR(C27&lt;&gt;"Closed",D27="",F27=""),"",PMT(Loans!C7/12,D27,-F27))</f>
        <v/>
      </c>
      <c r="H27" s="15" t="str">
        <f aca="false">IF(C27&lt;&gt;"Closed","",SUM(I27:BP27))</f>
        <v/>
      </c>
      <c r="I27" s="15" t="str">
        <f aca="false">IF(OR(C27&lt;&gt;"Closed",D27="",F27=""),"",IF(I11&gt;D27,"",F27*Loans!C7/12))</f>
        <v/>
      </c>
      <c r="J27" s="15" t="str">
        <f aca="false">IF(OR(C27&lt;&gt;"Closed",D27="",F27=""),"",IF(J11&gt;D27,"",I87*Loans!C7/12))</f>
        <v/>
      </c>
      <c r="K27" s="15" t="str">
        <f aca="false">IF(OR(C27&lt;&gt;"Closed",D27="",F27=""),"",IF(K11&gt;D27,"",J87*Loans!C7/12))</f>
        <v/>
      </c>
      <c r="L27" s="15" t="str">
        <f aca="false">IF(OR(C27&lt;&gt;"Closed",D27="",F27=""),"",IF(L11&gt;D27,"",K87*Loans!C7/12))</f>
        <v/>
      </c>
      <c r="M27" s="15" t="str">
        <f aca="false">IF(OR(C27&lt;&gt;"Closed",D27="",F27=""),"",IF(M11&gt;D27,"",L87*Loans!C7/12))</f>
        <v/>
      </c>
      <c r="N27" s="15" t="str">
        <f aca="false">IF(OR(C27&lt;&gt;"Closed",D27="",F27=""),"",IF(N11&gt;D27,"",M87*Loans!C7/12))</f>
        <v/>
      </c>
      <c r="O27" s="15" t="str">
        <f aca="false">IF(OR(C27&lt;&gt;"Closed",D27="",F27=""),"",IF(O11&gt;D27,"",N87*Loans!C7/12))</f>
        <v/>
      </c>
      <c r="P27" s="15" t="str">
        <f aca="false">IF(OR(C27&lt;&gt;"Closed",D27="",F27=""),"",IF(P11&gt;D27,"",O87*Loans!C7/12))</f>
        <v/>
      </c>
      <c r="Q27" s="15" t="str">
        <f aca="false">IF(OR(C27&lt;&gt;"Closed",D27="",F27=""),"",IF(Q11&gt;D27,"",P87*Loans!C7/12))</f>
        <v/>
      </c>
      <c r="R27" s="15" t="str">
        <f aca="false">IF(OR(C27&lt;&gt;"Closed",D27="",F27=""),"",IF(R11&gt;D27,"",Q87*Loans!C7/12))</f>
        <v/>
      </c>
      <c r="S27" s="15" t="str">
        <f aca="false">IF(OR(C27&lt;&gt;"Closed",D27="",F27=""),"",IF(S11&gt;D27,"",R87*Loans!C7/12))</f>
        <v/>
      </c>
      <c r="T27" s="15" t="str">
        <f aca="false">IF(OR(C27&lt;&gt;"Closed",D27="",F27=""),"",IF(T11&gt;D27,"",S87*Loans!C7/12))</f>
        <v/>
      </c>
      <c r="U27" s="15" t="str">
        <f aca="false">IF(OR(C27&lt;&gt;"Closed",D27="",F27=""),"",IF(U11&gt;D27,"",T87*Loans!C7/12))</f>
        <v/>
      </c>
      <c r="V27" s="15" t="str">
        <f aca="false">IF(OR(C27&lt;&gt;"Closed",D27="",F27=""),"",IF(V11&gt;D27,"",U87*Loans!C7/12))</f>
        <v/>
      </c>
      <c r="W27" s="15" t="str">
        <f aca="false">IF(OR(C27&lt;&gt;"Closed",D27="",F27=""),"",IF(W11&gt;D27,"",V87*Loans!C7/12))</f>
        <v/>
      </c>
      <c r="X27" s="15" t="str">
        <f aca="false">IF(OR(C27&lt;&gt;"Closed",D27="",F27=""),"",IF(X11&gt;D27,"",W87*Loans!C7/12))</f>
        <v/>
      </c>
      <c r="Y27" s="15" t="str">
        <f aca="false">IF(OR(C27&lt;&gt;"Closed",D27="",F27=""),"",IF(Y11&gt;D27,"",X87*Loans!C7/12))</f>
        <v/>
      </c>
      <c r="Z27" s="15" t="str">
        <f aca="false">IF(OR(C27&lt;&gt;"Closed",D27="",F27=""),"",IF(Z11&gt;D27,"",Y87*Loans!C7/12))</f>
        <v/>
      </c>
      <c r="AA27" s="15" t="str">
        <f aca="false">IF(OR(C27&lt;&gt;"Closed",D27="",F27=""),"",IF(AA11&gt;D27,"",Z87*Loans!C7/12))</f>
        <v/>
      </c>
      <c r="AB27" s="15" t="str">
        <f aca="false">IF(OR(C27&lt;&gt;"Closed",D27="",F27=""),"",IF(AB11&gt;D27,"",AA87*Loans!C7/12))</f>
        <v/>
      </c>
      <c r="AC27" s="15" t="str">
        <f aca="false">IF(OR(C27&lt;&gt;"Closed",D27="",F27=""),"",IF(AC11&gt;D27,"",AB87*Loans!C7/12))</f>
        <v/>
      </c>
      <c r="AD27" s="15" t="str">
        <f aca="false">IF(OR(C27&lt;&gt;"Closed",D27="",F27=""),"",IF(AD11&gt;D27,"",AC87*Loans!C7/12))</f>
        <v/>
      </c>
      <c r="AE27" s="15" t="str">
        <f aca="false">IF(OR(C27&lt;&gt;"Closed",D27="",F27=""),"",IF(AE11&gt;D27,"",AD87*Loans!C7/12))</f>
        <v/>
      </c>
      <c r="AF27" s="15" t="str">
        <f aca="false">IF(OR(C27&lt;&gt;"Closed",D27="",F27=""),"",IF(AF11&gt;D27,"",AE87*Loans!C7/12))</f>
        <v/>
      </c>
      <c r="AG27" s="15" t="str">
        <f aca="false">IF(OR(C27&lt;&gt;"Closed",D27="",F27=""),"",IF(AG11&gt;D27,"",AF87*Loans!C7/12))</f>
        <v/>
      </c>
      <c r="AH27" s="15" t="str">
        <f aca="false">IF(OR(C27&lt;&gt;"Closed",D27="",F27=""),"",IF(AH11&gt;D27,"",AG87*Loans!C7/12))</f>
        <v/>
      </c>
      <c r="AI27" s="15" t="str">
        <f aca="false">IF(OR(C27&lt;&gt;"Closed",D27="",F27=""),"",IF(AI11&gt;D27,"",AH87*Loans!C7/12))</f>
        <v/>
      </c>
      <c r="AJ27" s="15" t="str">
        <f aca="false">IF(OR(C27&lt;&gt;"Closed",D27="",F27=""),"",IF(AJ11&gt;D27,"",AI87*Loans!C7/12))</f>
        <v/>
      </c>
      <c r="AK27" s="15" t="str">
        <f aca="false">IF(OR(C27&lt;&gt;"Closed",D27="",F27=""),"",IF(AK11&gt;D27,"",AJ87*Loans!C7/12))</f>
        <v/>
      </c>
      <c r="AL27" s="15" t="str">
        <f aca="false">IF(OR(C27&lt;&gt;"Closed",D27="",F27=""),"",IF(AL11&gt;D27,"",AK87*Loans!C7/12))</f>
        <v/>
      </c>
      <c r="AM27" s="15" t="str">
        <f aca="false">IF(OR(C27&lt;&gt;"Closed",D27="",F27=""),"",IF(AM11&gt;D27,"",AL87*Loans!C7/12))</f>
        <v/>
      </c>
      <c r="AN27" s="15" t="str">
        <f aca="false">IF(OR(C27&lt;&gt;"Closed",D27="",F27=""),"",IF(AN11&gt;D27,"",AM87*Loans!C7/12))</f>
        <v/>
      </c>
      <c r="AO27" s="15" t="str">
        <f aca="false">IF(OR(C27&lt;&gt;"Closed",D27="",F27=""),"",IF(AO11&gt;D27,"",AN87*Loans!C7/12))</f>
        <v/>
      </c>
      <c r="AP27" s="15" t="str">
        <f aca="false">IF(OR(C27&lt;&gt;"Closed",D27="",F27=""),"",IF(AP11&gt;D27,"",AO87*Loans!C7/12))</f>
        <v/>
      </c>
      <c r="AQ27" s="15" t="str">
        <f aca="false">IF(OR(C27&lt;&gt;"Closed",D27="",F27=""),"",IF(AQ11&gt;D27,"",AP87*Loans!C7/12))</f>
        <v/>
      </c>
      <c r="AR27" s="15" t="str">
        <f aca="false">IF(OR(C27&lt;&gt;"Closed",D27="",F27=""),"",IF(AR11&gt;D27,"",AQ87*Loans!C7/12))</f>
        <v/>
      </c>
      <c r="AS27" s="15" t="str">
        <f aca="false">IF(OR(C27&lt;&gt;"Closed",D27="",F27=""),"",IF(AS11&gt;D27,"",AR87*Loans!C7/12))</f>
        <v/>
      </c>
      <c r="AT27" s="15" t="str">
        <f aca="false">IF(OR(C27&lt;&gt;"Closed",D27="",F27=""),"",IF(AT11&gt;D27,"",AS87*Loans!C7/12))</f>
        <v/>
      </c>
      <c r="AU27" s="15" t="str">
        <f aca="false">IF(OR(C27&lt;&gt;"Closed",D27="",F27=""),"",IF(AU11&gt;D27,"",AT87*Loans!C7/12))</f>
        <v/>
      </c>
      <c r="AV27" s="15" t="str">
        <f aca="false">IF(OR(C27&lt;&gt;"Closed",D27="",F27=""),"",IF(AV11&gt;D27,"",AU87*Loans!C7/12))</f>
        <v/>
      </c>
      <c r="AW27" s="15" t="str">
        <f aca="false">IF(OR(C27&lt;&gt;"Closed",D27="",F27=""),"",IF(AW11&gt;D27,"",AV87*Loans!C7/12))</f>
        <v/>
      </c>
      <c r="AX27" s="15" t="str">
        <f aca="false">IF(OR(C27&lt;&gt;"Closed",D27="",F27=""),"",IF(AX11&gt;D27,"",AW87*Loans!C7/12))</f>
        <v/>
      </c>
      <c r="AY27" s="15" t="str">
        <f aca="false">IF(OR(C27&lt;&gt;"Closed",D27="",F27=""),"",IF(AY11&gt;D27,"",AX87*Loans!C7/12))</f>
        <v/>
      </c>
      <c r="AZ27" s="15" t="str">
        <f aca="false">IF(OR(C27&lt;&gt;"Closed",D27="",F27=""),"",IF(AZ11&gt;D27,"",AY87*Loans!C7/12))</f>
        <v/>
      </c>
      <c r="BA27" s="15" t="str">
        <f aca="false">IF(OR(C27&lt;&gt;"Closed",D27="",F27=""),"",IF(BA11&gt;D27,"",AZ87*Loans!C7/12))</f>
        <v/>
      </c>
      <c r="BB27" s="15" t="str">
        <f aca="false">IF(OR(C27&lt;&gt;"Closed",D27="",F27=""),"",IF(BB11&gt;D27,"",BA87*Loans!C7/12))</f>
        <v/>
      </c>
      <c r="BC27" s="15" t="str">
        <f aca="false">IF(OR(C27&lt;&gt;"Closed",D27="",F27=""),"",IF(BC11&gt;D27,"",BB87*Loans!C7/12))</f>
        <v/>
      </c>
      <c r="BD27" s="15" t="str">
        <f aca="false">IF(OR(C27&lt;&gt;"Closed",D27="",F27=""),"",IF(BD11&gt;D27,"",BC87*Loans!C7/12))</f>
        <v/>
      </c>
      <c r="BE27" s="15" t="str">
        <f aca="false">IF(OR(C27&lt;&gt;"Closed",D27="",F27=""),"",IF(BE11&gt;D27,"",BD87*Loans!C7/12))</f>
        <v/>
      </c>
      <c r="BF27" s="15" t="str">
        <f aca="false">IF(OR(C27&lt;&gt;"Closed",D27="",F27=""),"",IF(BF11&gt;D27,"",BE87*Loans!C7/12))</f>
        <v/>
      </c>
      <c r="BG27" s="15" t="str">
        <f aca="false">IF(OR(C27&lt;&gt;"Closed",D27="",F27=""),"",IF(BG11&gt;D27,"",BF87*Loans!C7/12))</f>
        <v/>
      </c>
      <c r="BH27" s="15" t="str">
        <f aca="false">IF(OR(C27&lt;&gt;"Closed",D27="",F27=""),"",IF(BH11&gt;D27,"",BG87*Loans!C7/12))</f>
        <v/>
      </c>
      <c r="BI27" s="15" t="str">
        <f aca="false">IF(OR(C27&lt;&gt;"Closed",D27="",F27=""),"",IF(BI11&gt;D27,"",BH87*Loans!C7/12))</f>
        <v/>
      </c>
      <c r="BJ27" s="15" t="str">
        <f aca="false">IF(OR(C27&lt;&gt;"Closed",D27="",F27=""),"",IF(BJ11&gt;D27,"",BI87*Loans!C7/12))</f>
        <v/>
      </c>
      <c r="BK27" s="15" t="str">
        <f aca="false">IF(OR(C27&lt;&gt;"Closed",D27="",F27=""),"",IF(BK11&gt;D27,"",BJ87*Loans!C7/12))</f>
        <v/>
      </c>
      <c r="BL27" s="15" t="str">
        <f aca="false">IF(OR(C27&lt;&gt;"Closed",D27="",F27=""),"",IF(BL11&gt;D27,"",BK87*Loans!C7/12))</f>
        <v/>
      </c>
      <c r="BM27" s="15" t="str">
        <f aca="false">IF(OR(C27&lt;&gt;"Closed",D27="",F27=""),"",IF(BM11&gt;D27,"",BL87*Loans!C7/12))</f>
        <v/>
      </c>
      <c r="BN27" s="15" t="str">
        <f aca="false">IF(OR(C27&lt;&gt;"Closed",D27="",F27=""),"",IF(BN11&gt;D27,"",BM87*Loans!C7/12))</f>
        <v/>
      </c>
      <c r="BO27" s="15" t="str">
        <f aca="false">IF(OR(C27&lt;&gt;"Closed",D27="",F27=""),"",IF(BO11&gt;D27,"",BN87*Loans!C7/12))</f>
        <v/>
      </c>
      <c r="BP27" s="15" t="str">
        <f aca="false">IF(OR(C27&lt;&gt;"Closed",D27="",F27=""),"",IF(BP11&gt;D27,"",BO87*Loans!C7/12))</f>
        <v/>
      </c>
    </row>
    <row r="28" customFormat="false" ht="15" hidden="false" customHeight="false" outlineLevel="0" collapsed="false">
      <c r="A28" s="29" t="str">
        <f aca="false">IF(Loans!A28="","",Loans!A28)</f>
        <v/>
      </c>
      <c r="B28" s="29" t="str">
        <f aca="false">IF(Loans!B28="","",Loans!B28)</f>
        <v/>
      </c>
      <c r="C28" s="29" t="str">
        <f aca="false">IF(Loans!C28="","",Loans!C28)</f>
        <v/>
      </c>
      <c r="D28" s="16" t="str">
        <f aca="false">IF(Loans!I28="","",Loans!I28)</f>
        <v/>
      </c>
      <c r="E28" s="17" t="str">
        <f aca="false">IF(Loans!E28="","",Loans!E28)</f>
        <v/>
      </c>
      <c r="F28" s="15" t="str">
        <f aca="false">IF(Loans!F28="","",Loans!F28)</f>
        <v/>
      </c>
      <c r="G28" s="15" t="str">
        <f aca="false">IF(OR(C28&lt;&gt;"Closed",D28="",F28=""),"",PMT(Loans!C7/12,D28,-F28))</f>
        <v/>
      </c>
      <c r="H28" s="15" t="str">
        <f aca="false">IF(C28&lt;&gt;"Closed","",SUM(I28:BP28))</f>
        <v/>
      </c>
      <c r="I28" s="15" t="str">
        <f aca="false">IF(OR(C28&lt;&gt;"Closed",D28="",F28=""),"",IF(I11&gt;D28,"",F28*Loans!C7/12))</f>
        <v/>
      </c>
      <c r="J28" s="15" t="str">
        <f aca="false">IF(OR(C28&lt;&gt;"Closed",D28="",F28=""),"",IF(J11&gt;D28,"",I88*Loans!C7/12))</f>
        <v/>
      </c>
      <c r="K28" s="15" t="str">
        <f aca="false">IF(OR(C28&lt;&gt;"Closed",D28="",F28=""),"",IF(K11&gt;D28,"",J88*Loans!C7/12))</f>
        <v/>
      </c>
      <c r="L28" s="15" t="str">
        <f aca="false">IF(OR(C28&lt;&gt;"Closed",D28="",F28=""),"",IF(L11&gt;D28,"",K88*Loans!C7/12))</f>
        <v/>
      </c>
      <c r="M28" s="15" t="str">
        <f aca="false">IF(OR(C28&lt;&gt;"Closed",D28="",F28=""),"",IF(M11&gt;D28,"",L88*Loans!C7/12))</f>
        <v/>
      </c>
      <c r="N28" s="15" t="str">
        <f aca="false">IF(OR(C28&lt;&gt;"Closed",D28="",F28=""),"",IF(N11&gt;D28,"",M88*Loans!C7/12))</f>
        <v/>
      </c>
      <c r="O28" s="15" t="str">
        <f aca="false">IF(OR(C28&lt;&gt;"Closed",D28="",F28=""),"",IF(O11&gt;D28,"",N88*Loans!C7/12))</f>
        <v/>
      </c>
      <c r="P28" s="15" t="str">
        <f aca="false">IF(OR(C28&lt;&gt;"Closed",D28="",F28=""),"",IF(P11&gt;D28,"",O88*Loans!C7/12))</f>
        <v/>
      </c>
      <c r="Q28" s="15" t="str">
        <f aca="false">IF(OR(C28&lt;&gt;"Closed",D28="",F28=""),"",IF(Q11&gt;D28,"",P88*Loans!C7/12))</f>
        <v/>
      </c>
      <c r="R28" s="15" t="str">
        <f aca="false">IF(OR(C28&lt;&gt;"Closed",D28="",F28=""),"",IF(R11&gt;D28,"",Q88*Loans!C7/12))</f>
        <v/>
      </c>
      <c r="S28" s="15" t="str">
        <f aca="false">IF(OR(C28&lt;&gt;"Closed",D28="",F28=""),"",IF(S11&gt;D28,"",R88*Loans!C7/12))</f>
        <v/>
      </c>
      <c r="T28" s="15" t="str">
        <f aca="false">IF(OR(C28&lt;&gt;"Closed",D28="",F28=""),"",IF(T11&gt;D28,"",S88*Loans!C7/12))</f>
        <v/>
      </c>
      <c r="U28" s="15" t="str">
        <f aca="false">IF(OR(C28&lt;&gt;"Closed",D28="",F28=""),"",IF(U11&gt;D28,"",T88*Loans!C7/12))</f>
        <v/>
      </c>
      <c r="V28" s="15" t="str">
        <f aca="false">IF(OR(C28&lt;&gt;"Closed",D28="",F28=""),"",IF(V11&gt;D28,"",U88*Loans!C7/12))</f>
        <v/>
      </c>
      <c r="W28" s="15" t="str">
        <f aca="false">IF(OR(C28&lt;&gt;"Closed",D28="",F28=""),"",IF(W11&gt;D28,"",V88*Loans!C7/12))</f>
        <v/>
      </c>
      <c r="X28" s="15" t="str">
        <f aca="false">IF(OR(C28&lt;&gt;"Closed",D28="",F28=""),"",IF(X11&gt;D28,"",W88*Loans!C7/12))</f>
        <v/>
      </c>
      <c r="Y28" s="15" t="str">
        <f aca="false">IF(OR(C28&lt;&gt;"Closed",D28="",F28=""),"",IF(Y11&gt;D28,"",X88*Loans!C7/12))</f>
        <v/>
      </c>
      <c r="Z28" s="15" t="str">
        <f aca="false">IF(OR(C28&lt;&gt;"Closed",D28="",F28=""),"",IF(Z11&gt;D28,"",Y88*Loans!C7/12))</f>
        <v/>
      </c>
      <c r="AA28" s="15" t="str">
        <f aca="false">IF(OR(C28&lt;&gt;"Closed",D28="",F28=""),"",IF(AA11&gt;D28,"",Z88*Loans!C7/12))</f>
        <v/>
      </c>
      <c r="AB28" s="15" t="str">
        <f aca="false">IF(OR(C28&lt;&gt;"Closed",D28="",F28=""),"",IF(AB11&gt;D28,"",AA88*Loans!C7/12))</f>
        <v/>
      </c>
      <c r="AC28" s="15" t="str">
        <f aca="false">IF(OR(C28&lt;&gt;"Closed",D28="",F28=""),"",IF(AC11&gt;D28,"",AB88*Loans!C7/12))</f>
        <v/>
      </c>
      <c r="AD28" s="15" t="str">
        <f aca="false">IF(OR(C28&lt;&gt;"Closed",D28="",F28=""),"",IF(AD11&gt;D28,"",AC88*Loans!C7/12))</f>
        <v/>
      </c>
      <c r="AE28" s="15" t="str">
        <f aca="false">IF(OR(C28&lt;&gt;"Closed",D28="",F28=""),"",IF(AE11&gt;D28,"",AD88*Loans!C7/12))</f>
        <v/>
      </c>
      <c r="AF28" s="15" t="str">
        <f aca="false">IF(OR(C28&lt;&gt;"Closed",D28="",F28=""),"",IF(AF11&gt;D28,"",AE88*Loans!C7/12))</f>
        <v/>
      </c>
      <c r="AG28" s="15" t="str">
        <f aca="false">IF(OR(C28&lt;&gt;"Closed",D28="",F28=""),"",IF(AG11&gt;D28,"",AF88*Loans!C7/12))</f>
        <v/>
      </c>
      <c r="AH28" s="15" t="str">
        <f aca="false">IF(OR(C28&lt;&gt;"Closed",D28="",F28=""),"",IF(AH11&gt;D28,"",AG88*Loans!C7/12))</f>
        <v/>
      </c>
      <c r="AI28" s="15" t="str">
        <f aca="false">IF(OR(C28&lt;&gt;"Closed",D28="",F28=""),"",IF(AI11&gt;D28,"",AH88*Loans!C7/12))</f>
        <v/>
      </c>
      <c r="AJ28" s="15" t="str">
        <f aca="false">IF(OR(C28&lt;&gt;"Closed",D28="",F28=""),"",IF(AJ11&gt;D28,"",AI88*Loans!C7/12))</f>
        <v/>
      </c>
      <c r="AK28" s="15" t="str">
        <f aca="false">IF(OR(C28&lt;&gt;"Closed",D28="",F28=""),"",IF(AK11&gt;D28,"",AJ88*Loans!C7/12))</f>
        <v/>
      </c>
      <c r="AL28" s="15" t="str">
        <f aca="false">IF(OR(C28&lt;&gt;"Closed",D28="",F28=""),"",IF(AL11&gt;D28,"",AK88*Loans!C7/12))</f>
        <v/>
      </c>
      <c r="AM28" s="15" t="str">
        <f aca="false">IF(OR(C28&lt;&gt;"Closed",D28="",F28=""),"",IF(AM11&gt;D28,"",AL88*Loans!C7/12))</f>
        <v/>
      </c>
      <c r="AN28" s="15" t="str">
        <f aca="false">IF(OR(C28&lt;&gt;"Closed",D28="",F28=""),"",IF(AN11&gt;D28,"",AM88*Loans!C7/12))</f>
        <v/>
      </c>
      <c r="AO28" s="15" t="str">
        <f aca="false">IF(OR(C28&lt;&gt;"Closed",D28="",F28=""),"",IF(AO11&gt;D28,"",AN88*Loans!C7/12))</f>
        <v/>
      </c>
      <c r="AP28" s="15" t="str">
        <f aca="false">IF(OR(C28&lt;&gt;"Closed",D28="",F28=""),"",IF(AP11&gt;D28,"",AO88*Loans!C7/12))</f>
        <v/>
      </c>
      <c r="AQ28" s="15" t="str">
        <f aca="false">IF(OR(C28&lt;&gt;"Closed",D28="",F28=""),"",IF(AQ11&gt;D28,"",AP88*Loans!C7/12))</f>
        <v/>
      </c>
      <c r="AR28" s="15" t="str">
        <f aca="false">IF(OR(C28&lt;&gt;"Closed",D28="",F28=""),"",IF(AR11&gt;D28,"",AQ88*Loans!C7/12))</f>
        <v/>
      </c>
      <c r="AS28" s="15" t="str">
        <f aca="false">IF(OR(C28&lt;&gt;"Closed",D28="",F28=""),"",IF(AS11&gt;D28,"",AR88*Loans!C7/12))</f>
        <v/>
      </c>
      <c r="AT28" s="15" t="str">
        <f aca="false">IF(OR(C28&lt;&gt;"Closed",D28="",F28=""),"",IF(AT11&gt;D28,"",AS88*Loans!C7/12))</f>
        <v/>
      </c>
      <c r="AU28" s="15" t="str">
        <f aca="false">IF(OR(C28&lt;&gt;"Closed",D28="",F28=""),"",IF(AU11&gt;D28,"",AT88*Loans!C7/12))</f>
        <v/>
      </c>
      <c r="AV28" s="15" t="str">
        <f aca="false">IF(OR(C28&lt;&gt;"Closed",D28="",F28=""),"",IF(AV11&gt;D28,"",AU88*Loans!C7/12))</f>
        <v/>
      </c>
      <c r="AW28" s="15" t="str">
        <f aca="false">IF(OR(C28&lt;&gt;"Closed",D28="",F28=""),"",IF(AW11&gt;D28,"",AV88*Loans!C7/12))</f>
        <v/>
      </c>
      <c r="AX28" s="15" t="str">
        <f aca="false">IF(OR(C28&lt;&gt;"Closed",D28="",F28=""),"",IF(AX11&gt;D28,"",AW88*Loans!C7/12))</f>
        <v/>
      </c>
      <c r="AY28" s="15" t="str">
        <f aca="false">IF(OR(C28&lt;&gt;"Closed",D28="",F28=""),"",IF(AY11&gt;D28,"",AX88*Loans!C7/12))</f>
        <v/>
      </c>
      <c r="AZ28" s="15" t="str">
        <f aca="false">IF(OR(C28&lt;&gt;"Closed",D28="",F28=""),"",IF(AZ11&gt;D28,"",AY88*Loans!C7/12))</f>
        <v/>
      </c>
      <c r="BA28" s="15" t="str">
        <f aca="false">IF(OR(C28&lt;&gt;"Closed",D28="",F28=""),"",IF(BA11&gt;D28,"",AZ88*Loans!C7/12))</f>
        <v/>
      </c>
      <c r="BB28" s="15" t="str">
        <f aca="false">IF(OR(C28&lt;&gt;"Closed",D28="",F28=""),"",IF(BB11&gt;D28,"",BA88*Loans!C7/12))</f>
        <v/>
      </c>
      <c r="BC28" s="15" t="str">
        <f aca="false">IF(OR(C28&lt;&gt;"Closed",D28="",F28=""),"",IF(BC11&gt;D28,"",BB88*Loans!C7/12))</f>
        <v/>
      </c>
      <c r="BD28" s="15" t="str">
        <f aca="false">IF(OR(C28&lt;&gt;"Closed",D28="",F28=""),"",IF(BD11&gt;D28,"",BC88*Loans!C7/12))</f>
        <v/>
      </c>
      <c r="BE28" s="15" t="str">
        <f aca="false">IF(OR(C28&lt;&gt;"Closed",D28="",F28=""),"",IF(BE11&gt;D28,"",BD88*Loans!C7/12))</f>
        <v/>
      </c>
      <c r="BF28" s="15" t="str">
        <f aca="false">IF(OR(C28&lt;&gt;"Closed",D28="",F28=""),"",IF(BF11&gt;D28,"",BE88*Loans!C7/12))</f>
        <v/>
      </c>
      <c r="BG28" s="15" t="str">
        <f aca="false">IF(OR(C28&lt;&gt;"Closed",D28="",F28=""),"",IF(BG11&gt;D28,"",BF88*Loans!C7/12))</f>
        <v/>
      </c>
      <c r="BH28" s="15" t="str">
        <f aca="false">IF(OR(C28&lt;&gt;"Closed",D28="",F28=""),"",IF(BH11&gt;D28,"",BG88*Loans!C7/12))</f>
        <v/>
      </c>
      <c r="BI28" s="15" t="str">
        <f aca="false">IF(OR(C28&lt;&gt;"Closed",D28="",F28=""),"",IF(BI11&gt;D28,"",BH88*Loans!C7/12))</f>
        <v/>
      </c>
      <c r="BJ28" s="15" t="str">
        <f aca="false">IF(OR(C28&lt;&gt;"Closed",D28="",F28=""),"",IF(BJ11&gt;D28,"",BI88*Loans!C7/12))</f>
        <v/>
      </c>
      <c r="BK28" s="15" t="str">
        <f aca="false">IF(OR(C28&lt;&gt;"Closed",D28="",F28=""),"",IF(BK11&gt;D28,"",BJ88*Loans!C7/12))</f>
        <v/>
      </c>
      <c r="BL28" s="15" t="str">
        <f aca="false">IF(OR(C28&lt;&gt;"Closed",D28="",F28=""),"",IF(BL11&gt;D28,"",BK88*Loans!C7/12))</f>
        <v/>
      </c>
      <c r="BM28" s="15" t="str">
        <f aca="false">IF(OR(C28&lt;&gt;"Closed",D28="",F28=""),"",IF(BM11&gt;D28,"",BL88*Loans!C7/12))</f>
        <v/>
      </c>
      <c r="BN28" s="15" t="str">
        <f aca="false">IF(OR(C28&lt;&gt;"Closed",D28="",F28=""),"",IF(BN11&gt;D28,"",BM88*Loans!C7/12))</f>
        <v/>
      </c>
      <c r="BO28" s="15" t="str">
        <f aca="false">IF(OR(C28&lt;&gt;"Closed",D28="",F28=""),"",IF(BO11&gt;D28,"",BN88*Loans!C7/12))</f>
        <v/>
      </c>
      <c r="BP28" s="15" t="str">
        <f aca="false">IF(OR(C28&lt;&gt;"Closed",D28="",F28=""),"",IF(BP11&gt;D28,"",BO88*Loans!C7/12))</f>
        <v/>
      </c>
    </row>
    <row r="29" customFormat="false" ht="15" hidden="false" customHeight="false" outlineLevel="0" collapsed="false">
      <c r="A29" s="29" t="str">
        <f aca="false">IF(Loans!A29="","",Loans!A29)</f>
        <v/>
      </c>
      <c r="B29" s="29" t="str">
        <f aca="false">IF(Loans!B29="","",Loans!B29)</f>
        <v/>
      </c>
      <c r="C29" s="29" t="str">
        <f aca="false">IF(Loans!C29="","",Loans!C29)</f>
        <v/>
      </c>
      <c r="D29" s="16" t="str">
        <f aca="false">IF(Loans!I29="","",Loans!I29)</f>
        <v/>
      </c>
      <c r="E29" s="17" t="str">
        <f aca="false">IF(Loans!E29="","",Loans!E29)</f>
        <v/>
      </c>
      <c r="F29" s="15" t="str">
        <f aca="false">IF(Loans!F29="","",Loans!F29)</f>
        <v/>
      </c>
      <c r="G29" s="15" t="str">
        <f aca="false">IF(OR(C29&lt;&gt;"Closed",D29="",F29=""),"",PMT(Loans!C7/12,D29,-F29))</f>
        <v/>
      </c>
      <c r="H29" s="15" t="str">
        <f aca="false">IF(C29&lt;&gt;"Closed","",SUM(I29:BP29))</f>
        <v/>
      </c>
      <c r="I29" s="15" t="str">
        <f aca="false">IF(OR(C29&lt;&gt;"Closed",D29="",F29=""),"",IF(I11&gt;D29,"",F29*Loans!C7/12))</f>
        <v/>
      </c>
      <c r="J29" s="15" t="str">
        <f aca="false">IF(OR(C29&lt;&gt;"Closed",D29="",F29=""),"",IF(J11&gt;D29,"",I89*Loans!C7/12))</f>
        <v/>
      </c>
      <c r="K29" s="15" t="str">
        <f aca="false">IF(OR(C29&lt;&gt;"Closed",D29="",F29=""),"",IF(K11&gt;D29,"",J89*Loans!C7/12))</f>
        <v/>
      </c>
      <c r="L29" s="15" t="str">
        <f aca="false">IF(OR(C29&lt;&gt;"Closed",D29="",F29=""),"",IF(L11&gt;D29,"",K89*Loans!C7/12))</f>
        <v/>
      </c>
      <c r="M29" s="15" t="str">
        <f aca="false">IF(OR(C29&lt;&gt;"Closed",D29="",F29=""),"",IF(M11&gt;D29,"",L89*Loans!C7/12))</f>
        <v/>
      </c>
      <c r="N29" s="15" t="str">
        <f aca="false">IF(OR(C29&lt;&gt;"Closed",D29="",F29=""),"",IF(N11&gt;D29,"",M89*Loans!C7/12))</f>
        <v/>
      </c>
      <c r="O29" s="15" t="str">
        <f aca="false">IF(OR(C29&lt;&gt;"Closed",D29="",F29=""),"",IF(O11&gt;D29,"",N89*Loans!C7/12))</f>
        <v/>
      </c>
      <c r="P29" s="15" t="str">
        <f aca="false">IF(OR(C29&lt;&gt;"Closed",D29="",F29=""),"",IF(P11&gt;D29,"",O89*Loans!C7/12))</f>
        <v/>
      </c>
      <c r="Q29" s="15" t="str">
        <f aca="false">IF(OR(C29&lt;&gt;"Closed",D29="",F29=""),"",IF(Q11&gt;D29,"",P89*Loans!C7/12))</f>
        <v/>
      </c>
      <c r="R29" s="15" t="str">
        <f aca="false">IF(OR(C29&lt;&gt;"Closed",D29="",F29=""),"",IF(R11&gt;D29,"",Q89*Loans!C7/12))</f>
        <v/>
      </c>
      <c r="S29" s="15" t="str">
        <f aca="false">IF(OR(C29&lt;&gt;"Closed",D29="",F29=""),"",IF(S11&gt;D29,"",R89*Loans!C7/12))</f>
        <v/>
      </c>
      <c r="T29" s="15" t="str">
        <f aca="false">IF(OR(C29&lt;&gt;"Closed",D29="",F29=""),"",IF(T11&gt;D29,"",S89*Loans!C7/12))</f>
        <v/>
      </c>
      <c r="U29" s="15" t="str">
        <f aca="false">IF(OR(C29&lt;&gt;"Closed",D29="",F29=""),"",IF(U11&gt;D29,"",T89*Loans!C7/12))</f>
        <v/>
      </c>
      <c r="V29" s="15" t="str">
        <f aca="false">IF(OR(C29&lt;&gt;"Closed",D29="",F29=""),"",IF(V11&gt;D29,"",U89*Loans!C7/12))</f>
        <v/>
      </c>
      <c r="W29" s="15" t="str">
        <f aca="false">IF(OR(C29&lt;&gt;"Closed",D29="",F29=""),"",IF(W11&gt;D29,"",V89*Loans!C7/12))</f>
        <v/>
      </c>
      <c r="X29" s="15" t="str">
        <f aca="false">IF(OR(C29&lt;&gt;"Closed",D29="",F29=""),"",IF(X11&gt;D29,"",W89*Loans!C7/12))</f>
        <v/>
      </c>
      <c r="Y29" s="15" t="str">
        <f aca="false">IF(OR(C29&lt;&gt;"Closed",D29="",F29=""),"",IF(Y11&gt;D29,"",X89*Loans!C7/12))</f>
        <v/>
      </c>
      <c r="Z29" s="15" t="str">
        <f aca="false">IF(OR(C29&lt;&gt;"Closed",D29="",F29=""),"",IF(Z11&gt;D29,"",Y89*Loans!C7/12))</f>
        <v/>
      </c>
      <c r="AA29" s="15" t="str">
        <f aca="false">IF(OR(C29&lt;&gt;"Closed",D29="",F29=""),"",IF(AA11&gt;D29,"",Z89*Loans!C7/12))</f>
        <v/>
      </c>
      <c r="AB29" s="15" t="str">
        <f aca="false">IF(OR(C29&lt;&gt;"Closed",D29="",F29=""),"",IF(AB11&gt;D29,"",AA89*Loans!C7/12))</f>
        <v/>
      </c>
      <c r="AC29" s="15" t="str">
        <f aca="false">IF(OR(C29&lt;&gt;"Closed",D29="",F29=""),"",IF(AC11&gt;D29,"",AB89*Loans!C7/12))</f>
        <v/>
      </c>
      <c r="AD29" s="15" t="str">
        <f aca="false">IF(OR(C29&lt;&gt;"Closed",D29="",F29=""),"",IF(AD11&gt;D29,"",AC89*Loans!C7/12))</f>
        <v/>
      </c>
      <c r="AE29" s="15" t="str">
        <f aca="false">IF(OR(C29&lt;&gt;"Closed",D29="",F29=""),"",IF(AE11&gt;D29,"",AD89*Loans!C7/12))</f>
        <v/>
      </c>
      <c r="AF29" s="15" t="str">
        <f aca="false">IF(OR(C29&lt;&gt;"Closed",D29="",F29=""),"",IF(AF11&gt;D29,"",AE89*Loans!C7/12))</f>
        <v/>
      </c>
      <c r="AG29" s="15" t="str">
        <f aca="false">IF(OR(C29&lt;&gt;"Closed",D29="",F29=""),"",IF(AG11&gt;D29,"",AF89*Loans!C7/12))</f>
        <v/>
      </c>
      <c r="AH29" s="15" t="str">
        <f aca="false">IF(OR(C29&lt;&gt;"Closed",D29="",F29=""),"",IF(AH11&gt;D29,"",AG89*Loans!C7/12))</f>
        <v/>
      </c>
      <c r="AI29" s="15" t="str">
        <f aca="false">IF(OR(C29&lt;&gt;"Closed",D29="",F29=""),"",IF(AI11&gt;D29,"",AH89*Loans!C7/12))</f>
        <v/>
      </c>
      <c r="AJ29" s="15" t="str">
        <f aca="false">IF(OR(C29&lt;&gt;"Closed",D29="",F29=""),"",IF(AJ11&gt;D29,"",AI89*Loans!C7/12))</f>
        <v/>
      </c>
      <c r="AK29" s="15" t="str">
        <f aca="false">IF(OR(C29&lt;&gt;"Closed",D29="",F29=""),"",IF(AK11&gt;D29,"",AJ89*Loans!C7/12))</f>
        <v/>
      </c>
      <c r="AL29" s="15" t="str">
        <f aca="false">IF(OR(C29&lt;&gt;"Closed",D29="",F29=""),"",IF(AL11&gt;D29,"",AK89*Loans!C7/12))</f>
        <v/>
      </c>
      <c r="AM29" s="15" t="str">
        <f aca="false">IF(OR(C29&lt;&gt;"Closed",D29="",F29=""),"",IF(AM11&gt;D29,"",AL89*Loans!C7/12))</f>
        <v/>
      </c>
      <c r="AN29" s="15" t="str">
        <f aca="false">IF(OR(C29&lt;&gt;"Closed",D29="",F29=""),"",IF(AN11&gt;D29,"",AM89*Loans!C7/12))</f>
        <v/>
      </c>
      <c r="AO29" s="15" t="str">
        <f aca="false">IF(OR(C29&lt;&gt;"Closed",D29="",F29=""),"",IF(AO11&gt;D29,"",AN89*Loans!C7/12))</f>
        <v/>
      </c>
      <c r="AP29" s="15" t="str">
        <f aca="false">IF(OR(C29&lt;&gt;"Closed",D29="",F29=""),"",IF(AP11&gt;D29,"",AO89*Loans!C7/12))</f>
        <v/>
      </c>
      <c r="AQ29" s="15" t="str">
        <f aca="false">IF(OR(C29&lt;&gt;"Closed",D29="",F29=""),"",IF(AQ11&gt;D29,"",AP89*Loans!C7/12))</f>
        <v/>
      </c>
      <c r="AR29" s="15" t="str">
        <f aca="false">IF(OR(C29&lt;&gt;"Closed",D29="",F29=""),"",IF(AR11&gt;D29,"",AQ89*Loans!C7/12))</f>
        <v/>
      </c>
      <c r="AS29" s="15" t="str">
        <f aca="false">IF(OR(C29&lt;&gt;"Closed",D29="",F29=""),"",IF(AS11&gt;D29,"",AR89*Loans!C7/12))</f>
        <v/>
      </c>
      <c r="AT29" s="15" t="str">
        <f aca="false">IF(OR(C29&lt;&gt;"Closed",D29="",F29=""),"",IF(AT11&gt;D29,"",AS89*Loans!C7/12))</f>
        <v/>
      </c>
      <c r="AU29" s="15" t="str">
        <f aca="false">IF(OR(C29&lt;&gt;"Closed",D29="",F29=""),"",IF(AU11&gt;D29,"",AT89*Loans!C7/12))</f>
        <v/>
      </c>
      <c r="AV29" s="15" t="str">
        <f aca="false">IF(OR(C29&lt;&gt;"Closed",D29="",F29=""),"",IF(AV11&gt;D29,"",AU89*Loans!C7/12))</f>
        <v/>
      </c>
      <c r="AW29" s="15" t="str">
        <f aca="false">IF(OR(C29&lt;&gt;"Closed",D29="",F29=""),"",IF(AW11&gt;D29,"",AV89*Loans!C7/12))</f>
        <v/>
      </c>
      <c r="AX29" s="15" t="str">
        <f aca="false">IF(OR(C29&lt;&gt;"Closed",D29="",F29=""),"",IF(AX11&gt;D29,"",AW89*Loans!C7/12))</f>
        <v/>
      </c>
      <c r="AY29" s="15" t="str">
        <f aca="false">IF(OR(C29&lt;&gt;"Closed",D29="",F29=""),"",IF(AY11&gt;D29,"",AX89*Loans!C7/12))</f>
        <v/>
      </c>
      <c r="AZ29" s="15" t="str">
        <f aca="false">IF(OR(C29&lt;&gt;"Closed",D29="",F29=""),"",IF(AZ11&gt;D29,"",AY89*Loans!C7/12))</f>
        <v/>
      </c>
      <c r="BA29" s="15" t="str">
        <f aca="false">IF(OR(C29&lt;&gt;"Closed",D29="",F29=""),"",IF(BA11&gt;D29,"",AZ89*Loans!C7/12))</f>
        <v/>
      </c>
      <c r="BB29" s="15" t="str">
        <f aca="false">IF(OR(C29&lt;&gt;"Closed",D29="",F29=""),"",IF(BB11&gt;D29,"",BA89*Loans!C7/12))</f>
        <v/>
      </c>
      <c r="BC29" s="15" t="str">
        <f aca="false">IF(OR(C29&lt;&gt;"Closed",D29="",F29=""),"",IF(BC11&gt;D29,"",BB89*Loans!C7/12))</f>
        <v/>
      </c>
      <c r="BD29" s="15" t="str">
        <f aca="false">IF(OR(C29&lt;&gt;"Closed",D29="",F29=""),"",IF(BD11&gt;D29,"",BC89*Loans!C7/12))</f>
        <v/>
      </c>
      <c r="BE29" s="15" t="str">
        <f aca="false">IF(OR(C29&lt;&gt;"Closed",D29="",F29=""),"",IF(BE11&gt;D29,"",BD89*Loans!C7/12))</f>
        <v/>
      </c>
      <c r="BF29" s="15" t="str">
        <f aca="false">IF(OR(C29&lt;&gt;"Closed",D29="",F29=""),"",IF(BF11&gt;D29,"",BE89*Loans!C7/12))</f>
        <v/>
      </c>
      <c r="BG29" s="15" t="str">
        <f aca="false">IF(OR(C29&lt;&gt;"Closed",D29="",F29=""),"",IF(BG11&gt;D29,"",BF89*Loans!C7/12))</f>
        <v/>
      </c>
      <c r="BH29" s="15" t="str">
        <f aca="false">IF(OR(C29&lt;&gt;"Closed",D29="",F29=""),"",IF(BH11&gt;D29,"",BG89*Loans!C7/12))</f>
        <v/>
      </c>
      <c r="BI29" s="15" t="str">
        <f aca="false">IF(OR(C29&lt;&gt;"Closed",D29="",F29=""),"",IF(BI11&gt;D29,"",BH89*Loans!C7/12))</f>
        <v/>
      </c>
      <c r="BJ29" s="15" t="str">
        <f aca="false">IF(OR(C29&lt;&gt;"Closed",D29="",F29=""),"",IF(BJ11&gt;D29,"",BI89*Loans!C7/12))</f>
        <v/>
      </c>
      <c r="BK29" s="15" t="str">
        <f aca="false">IF(OR(C29&lt;&gt;"Closed",D29="",F29=""),"",IF(BK11&gt;D29,"",BJ89*Loans!C7/12))</f>
        <v/>
      </c>
      <c r="BL29" s="15" t="str">
        <f aca="false">IF(OR(C29&lt;&gt;"Closed",D29="",F29=""),"",IF(BL11&gt;D29,"",BK89*Loans!C7/12))</f>
        <v/>
      </c>
      <c r="BM29" s="15" t="str">
        <f aca="false">IF(OR(C29&lt;&gt;"Closed",D29="",F29=""),"",IF(BM11&gt;D29,"",BL89*Loans!C7/12))</f>
        <v/>
      </c>
      <c r="BN29" s="15" t="str">
        <f aca="false">IF(OR(C29&lt;&gt;"Closed",D29="",F29=""),"",IF(BN11&gt;D29,"",BM89*Loans!C7/12))</f>
        <v/>
      </c>
      <c r="BO29" s="15" t="str">
        <f aca="false">IF(OR(C29&lt;&gt;"Closed",D29="",F29=""),"",IF(BO11&gt;D29,"",BN89*Loans!C7/12))</f>
        <v/>
      </c>
      <c r="BP29" s="15" t="str">
        <f aca="false">IF(OR(C29&lt;&gt;"Closed",D29="",F29=""),"",IF(BP11&gt;D29,"",BO89*Loans!C7/12))</f>
        <v/>
      </c>
    </row>
    <row r="30" customFormat="false" ht="15" hidden="false" customHeight="false" outlineLevel="0" collapsed="false">
      <c r="A30" s="29" t="str">
        <f aca="false">IF(Loans!A30="","",Loans!A30)</f>
        <v/>
      </c>
      <c r="B30" s="29" t="str">
        <f aca="false">IF(Loans!B30="","",Loans!B30)</f>
        <v/>
      </c>
      <c r="C30" s="29" t="str">
        <f aca="false">IF(Loans!C30="","",Loans!C30)</f>
        <v/>
      </c>
      <c r="D30" s="16" t="str">
        <f aca="false">IF(Loans!I30="","",Loans!I30)</f>
        <v/>
      </c>
      <c r="E30" s="17" t="str">
        <f aca="false">IF(Loans!E30="","",Loans!E30)</f>
        <v/>
      </c>
      <c r="F30" s="15" t="str">
        <f aca="false">IF(Loans!F30="","",Loans!F30)</f>
        <v/>
      </c>
      <c r="G30" s="15" t="str">
        <f aca="false">IF(OR(C30&lt;&gt;"Closed",D30="",F30=""),"",PMT(Loans!C7/12,D30,-F30))</f>
        <v/>
      </c>
      <c r="H30" s="15" t="str">
        <f aca="false">IF(C30&lt;&gt;"Closed","",SUM(I30:BP30))</f>
        <v/>
      </c>
      <c r="I30" s="15" t="str">
        <f aca="false">IF(OR(C30&lt;&gt;"Closed",D30="",F30=""),"",IF(I11&gt;D30,"",F30*Loans!C7/12))</f>
        <v/>
      </c>
      <c r="J30" s="15" t="str">
        <f aca="false">IF(OR(C30&lt;&gt;"Closed",D30="",F30=""),"",IF(J11&gt;D30,"",I90*Loans!C7/12))</f>
        <v/>
      </c>
      <c r="K30" s="15" t="str">
        <f aca="false">IF(OR(C30&lt;&gt;"Closed",D30="",F30=""),"",IF(K11&gt;D30,"",J90*Loans!C7/12))</f>
        <v/>
      </c>
      <c r="L30" s="15" t="str">
        <f aca="false">IF(OR(C30&lt;&gt;"Closed",D30="",F30=""),"",IF(L11&gt;D30,"",K90*Loans!C7/12))</f>
        <v/>
      </c>
      <c r="M30" s="15" t="str">
        <f aca="false">IF(OR(C30&lt;&gt;"Closed",D30="",F30=""),"",IF(M11&gt;D30,"",L90*Loans!C7/12))</f>
        <v/>
      </c>
      <c r="N30" s="15" t="str">
        <f aca="false">IF(OR(C30&lt;&gt;"Closed",D30="",F30=""),"",IF(N11&gt;D30,"",M90*Loans!C7/12))</f>
        <v/>
      </c>
      <c r="O30" s="15" t="str">
        <f aca="false">IF(OR(C30&lt;&gt;"Closed",D30="",F30=""),"",IF(O11&gt;D30,"",N90*Loans!C7/12))</f>
        <v/>
      </c>
      <c r="P30" s="15" t="str">
        <f aca="false">IF(OR(C30&lt;&gt;"Closed",D30="",F30=""),"",IF(P11&gt;D30,"",O90*Loans!C7/12))</f>
        <v/>
      </c>
      <c r="Q30" s="15" t="str">
        <f aca="false">IF(OR(C30&lt;&gt;"Closed",D30="",F30=""),"",IF(Q11&gt;D30,"",P90*Loans!C7/12))</f>
        <v/>
      </c>
      <c r="R30" s="15" t="str">
        <f aca="false">IF(OR(C30&lt;&gt;"Closed",D30="",F30=""),"",IF(R11&gt;D30,"",Q90*Loans!C7/12))</f>
        <v/>
      </c>
      <c r="S30" s="15" t="str">
        <f aca="false">IF(OR(C30&lt;&gt;"Closed",D30="",F30=""),"",IF(S11&gt;D30,"",R90*Loans!C7/12))</f>
        <v/>
      </c>
      <c r="T30" s="15" t="str">
        <f aca="false">IF(OR(C30&lt;&gt;"Closed",D30="",F30=""),"",IF(T11&gt;D30,"",S90*Loans!C7/12))</f>
        <v/>
      </c>
      <c r="U30" s="15" t="str">
        <f aca="false">IF(OR(C30&lt;&gt;"Closed",D30="",F30=""),"",IF(U11&gt;D30,"",T90*Loans!C7/12))</f>
        <v/>
      </c>
      <c r="V30" s="15" t="str">
        <f aca="false">IF(OR(C30&lt;&gt;"Closed",D30="",F30=""),"",IF(V11&gt;D30,"",U90*Loans!C7/12))</f>
        <v/>
      </c>
      <c r="W30" s="15" t="str">
        <f aca="false">IF(OR(C30&lt;&gt;"Closed",D30="",F30=""),"",IF(W11&gt;D30,"",V90*Loans!C7/12))</f>
        <v/>
      </c>
      <c r="X30" s="15" t="str">
        <f aca="false">IF(OR(C30&lt;&gt;"Closed",D30="",F30=""),"",IF(X11&gt;D30,"",W90*Loans!C7/12))</f>
        <v/>
      </c>
      <c r="Y30" s="15" t="str">
        <f aca="false">IF(OR(C30&lt;&gt;"Closed",D30="",F30=""),"",IF(Y11&gt;D30,"",X90*Loans!C7/12))</f>
        <v/>
      </c>
      <c r="Z30" s="15" t="str">
        <f aca="false">IF(OR(C30&lt;&gt;"Closed",D30="",F30=""),"",IF(Z11&gt;D30,"",Y90*Loans!C7/12))</f>
        <v/>
      </c>
      <c r="AA30" s="15" t="str">
        <f aca="false">IF(OR(C30&lt;&gt;"Closed",D30="",F30=""),"",IF(AA11&gt;D30,"",Z90*Loans!C7/12))</f>
        <v/>
      </c>
      <c r="AB30" s="15" t="str">
        <f aca="false">IF(OR(C30&lt;&gt;"Closed",D30="",F30=""),"",IF(AB11&gt;D30,"",AA90*Loans!C7/12))</f>
        <v/>
      </c>
      <c r="AC30" s="15" t="str">
        <f aca="false">IF(OR(C30&lt;&gt;"Closed",D30="",F30=""),"",IF(AC11&gt;D30,"",AB90*Loans!C7/12))</f>
        <v/>
      </c>
      <c r="AD30" s="15" t="str">
        <f aca="false">IF(OR(C30&lt;&gt;"Closed",D30="",F30=""),"",IF(AD11&gt;D30,"",AC90*Loans!C7/12))</f>
        <v/>
      </c>
      <c r="AE30" s="15" t="str">
        <f aca="false">IF(OR(C30&lt;&gt;"Closed",D30="",F30=""),"",IF(AE11&gt;D30,"",AD90*Loans!C7/12))</f>
        <v/>
      </c>
      <c r="AF30" s="15" t="str">
        <f aca="false">IF(OR(C30&lt;&gt;"Closed",D30="",F30=""),"",IF(AF11&gt;D30,"",AE90*Loans!C7/12))</f>
        <v/>
      </c>
      <c r="AG30" s="15" t="str">
        <f aca="false">IF(OR(C30&lt;&gt;"Closed",D30="",F30=""),"",IF(AG11&gt;D30,"",AF90*Loans!C7/12))</f>
        <v/>
      </c>
      <c r="AH30" s="15" t="str">
        <f aca="false">IF(OR(C30&lt;&gt;"Closed",D30="",F30=""),"",IF(AH11&gt;D30,"",AG90*Loans!C7/12))</f>
        <v/>
      </c>
      <c r="AI30" s="15" t="str">
        <f aca="false">IF(OR(C30&lt;&gt;"Closed",D30="",F30=""),"",IF(AI11&gt;D30,"",AH90*Loans!C7/12))</f>
        <v/>
      </c>
      <c r="AJ30" s="15" t="str">
        <f aca="false">IF(OR(C30&lt;&gt;"Closed",D30="",F30=""),"",IF(AJ11&gt;D30,"",AI90*Loans!C7/12))</f>
        <v/>
      </c>
      <c r="AK30" s="15" t="str">
        <f aca="false">IF(OR(C30&lt;&gt;"Closed",D30="",F30=""),"",IF(AK11&gt;D30,"",AJ90*Loans!C7/12))</f>
        <v/>
      </c>
      <c r="AL30" s="15" t="str">
        <f aca="false">IF(OR(C30&lt;&gt;"Closed",D30="",F30=""),"",IF(AL11&gt;D30,"",AK90*Loans!C7/12))</f>
        <v/>
      </c>
      <c r="AM30" s="15" t="str">
        <f aca="false">IF(OR(C30&lt;&gt;"Closed",D30="",F30=""),"",IF(AM11&gt;D30,"",AL90*Loans!C7/12))</f>
        <v/>
      </c>
      <c r="AN30" s="15" t="str">
        <f aca="false">IF(OR(C30&lt;&gt;"Closed",D30="",F30=""),"",IF(AN11&gt;D30,"",AM90*Loans!C7/12))</f>
        <v/>
      </c>
      <c r="AO30" s="15" t="str">
        <f aca="false">IF(OR(C30&lt;&gt;"Closed",D30="",F30=""),"",IF(AO11&gt;D30,"",AN90*Loans!C7/12))</f>
        <v/>
      </c>
      <c r="AP30" s="15" t="str">
        <f aca="false">IF(OR(C30&lt;&gt;"Closed",D30="",F30=""),"",IF(AP11&gt;D30,"",AO90*Loans!C7/12))</f>
        <v/>
      </c>
      <c r="AQ30" s="15" t="str">
        <f aca="false">IF(OR(C30&lt;&gt;"Closed",D30="",F30=""),"",IF(AQ11&gt;D30,"",AP90*Loans!C7/12))</f>
        <v/>
      </c>
      <c r="AR30" s="15" t="str">
        <f aca="false">IF(OR(C30&lt;&gt;"Closed",D30="",F30=""),"",IF(AR11&gt;D30,"",AQ90*Loans!C7/12))</f>
        <v/>
      </c>
      <c r="AS30" s="15" t="str">
        <f aca="false">IF(OR(C30&lt;&gt;"Closed",D30="",F30=""),"",IF(AS11&gt;D30,"",AR90*Loans!C7/12))</f>
        <v/>
      </c>
      <c r="AT30" s="15" t="str">
        <f aca="false">IF(OR(C30&lt;&gt;"Closed",D30="",F30=""),"",IF(AT11&gt;D30,"",AS90*Loans!C7/12))</f>
        <v/>
      </c>
      <c r="AU30" s="15" t="str">
        <f aca="false">IF(OR(C30&lt;&gt;"Closed",D30="",F30=""),"",IF(AU11&gt;D30,"",AT90*Loans!C7/12))</f>
        <v/>
      </c>
      <c r="AV30" s="15" t="str">
        <f aca="false">IF(OR(C30&lt;&gt;"Closed",D30="",F30=""),"",IF(AV11&gt;D30,"",AU90*Loans!C7/12))</f>
        <v/>
      </c>
      <c r="AW30" s="15" t="str">
        <f aca="false">IF(OR(C30&lt;&gt;"Closed",D30="",F30=""),"",IF(AW11&gt;D30,"",AV90*Loans!C7/12))</f>
        <v/>
      </c>
      <c r="AX30" s="15" t="str">
        <f aca="false">IF(OR(C30&lt;&gt;"Closed",D30="",F30=""),"",IF(AX11&gt;D30,"",AW90*Loans!C7/12))</f>
        <v/>
      </c>
      <c r="AY30" s="15" t="str">
        <f aca="false">IF(OR(C30&lt;&gt;"Closed",D30="",F30=""),"",IF(AY11&gt;D30,"",AX90*Loans!C7/12))</f>
        <v/>
      </c>
      <c r="AZ30" s="15" t="str">
        <f aca="false">IF(OR(C30&lt;&gt;"Closed",D30="",F30=""),"",IF(AZ11&gt;D30,"",AY90*Loans!C7/12))</f>
        <v/>
      </c>
      <c r="BA30" s="15" t="str">
        <f aca="false">IF(OR(C30&lt;&gt;"Closed",D30="",F30=""),"",IF(BA11&gt;D30,"",AZ90*Loans!C7/12))</f>
        <v/>
      </c>
      <c r="BB30" s="15" t="str">
        <f aca="false">IF(OR(C30&lt;&gt;"Closed",D30="",F30=""),"",IF(BB11&gt;D30,"",BA90*Loans!C7/12))</f>
        <v/>
      </c>
      <c r="BC30" s="15" t="str">
        <f aca="false">IF(OR(C30&lt;&gt;"Closed",D30="",F30=""),"",IF(BC11&gt;D30,"",BB90*Loans!C7/12))</f>
        <v/>
      </c>
      <c r="BD30" s="15" t="str">
        <f aca="false">IF(OR(C30&lt;&gt;"Closed",D30="",F30=""),"",IF(BD11&gt;D30,"",BC90*Loans!C7/12))</f>
        <v/>
      </c>
      <c r="BE30" s="15" t="str">
        <f aca="false">IF(OR(C30&lt;&gt;"Closed",D30="",F30=""),"",IF(BE11&gt;D30,"",BD90*Loans!C7/12))</f>
        <v/>
      </c>
      <c r="BF30" s="15" t="str">
        <f aca="false">IF(OR(C30&lt;&gt;"Closed",D30="",F30=""),"",IF(BF11&gt;D30,"",BE90*Loans!C7/12))</f>
        <v/>
      </c>
      <c r="BG30" s="15" t="str">
        <f aca="false">IF(OR(C30&lt;&gt;"Closed",D30="",F30=""),"",IF(BG11&gt;D30,"",BF90*Loans!C7/12))</f>
        <v/>
      </c>
      <c r="BH30" s="15" t="str">
        <f aca="false">IF(OR(C30&lt;&gt;"Closed",D30="",F30=""),"",IF(BH11&gt;D30,"",BG90*Loans!C7/12))</f>
        <v/>
      </c>
      <c r="BI30" s="15" t="str">
        <f aca="false">IF(OR(C30&lt;&gt;"Closed",D30="",F30=""),"",IF(BI11&gt;D30,"",BH90*Loans!C7/12))</f>
        <v/>
      </c>
      <c r="BJ30" s="15" t="str">
        <f aca="false">IF(OR(C30&lt;&gt;"Closed",D30="",F30=""),"",IF(BJ11&gt;D30,"",BI90*Loans!C7/12))</f>
        <v/>
      </c>
      <c r="BK30" s="15" t="str">
        <f aca="false">IF(OR(C30&lt;&gt;"Closed",D30="",F30=""),"",IF(BK11&gt;D30,"",BJ90*Loans!C7/12))</f>
        <v/>
      </c>
      <c r="BL30" s="15" t="str">
        <f aca="false">IF(OR(C30&lt;&gt;"Closed",D30="",F30=""),"",IF(BL11&gt;D30,"",BK90*Loans!C7/12))</f>
        <v/>
      </c>
      <c r="BM30" s="15" t="str">
        <f aca="false">IF(OR(C30&lt;&gt;"Closed",D30="",F30=""),"",IF(BM11&gt;D30,"",BL90*Loans!C7/12))</f>
        <v/>
      </c>
      <c r="BN30" s="15" t="str">
        <f aca="false">IF(OR(C30&lt;&gt;"Closed",D30="",F30=""),"",IF(BN11&gt;D30,"",BM90*Loans!C7/12))</f>
        <v/>
      </c>
      <c r="BO30" s="15" t="str">
        <f aca="false">IF(OR(C30&lt;&gt;"Closed",D30="",F30=""),"",IF(BO11&gt;D30,"",BN90*Loans!C7/12))</f>
        <v/>
      </c>
      <c r="BP30" s="15" t="str">
        <f aca="false">IF(OR(C30&lt;&gt;"Closed",D30="",F30=""),"",IF(BP11&gt;D30,"",BO90*Loans!C7/12))</f>
        <v/>
      </c>
    </row>
    <row r="31" customFormat="false" ht="15" hidden="false" customHeight="false" outlineLevel="0" collapsed="false">
      <c r="A31" s="29" t="str">
        <f aca="false">IF(Loans!A31="","",Loans!A31)</f>
        <v/>
      </c>
      <c r="B31" s="29" t="str">
        <f aca="false">IF(Loans!B31="","",Loans!B31)</f>
        <v/>
      </c>
      <c r="C31" s="29" t="str">
        <f aca="false">IF(Loans!C31="","",Loans!C31)</f>
        <v/>
      </c>
      <c r="D31" s="16" t="str">
        <f aca="false">IF(Loans!I31="","",Loans!I31)</f>
        <v/>
      </c>
      <c r="E31" s="17" t="str">
        <f aca="false">IF(Loans!E31="","",Loans!E31)</f>
        <v/>
      </c>
      <c r="F31" s="15" t="str">
        <f aca="false">IF(Loans!F31="","",Loans!F31)</f>
        <v/>
      </c>
      <c r="G31" s="15" t="str">
        <f aca="false">IF(OR(C31&lt;&gt;"Closed",D31="",F31=""),"",PMT(Loans!C7/12,D31,-F31))</f>
        <v/>
      </c>
      <c r="H31" s="15" t="str">
        <f aca="false">IF(C31&lt;&gt;"Closed","",SUM(I31:BP31))</f>
        <v/>
      </c>
      <c r="I31" s="15" t="str">
        <f aca="false">IF(OR(C31&lt;&gt;"Closed",D31="",F31=""),"",IF(I11&gt;D31,"",F31*Loans!C7/12))</f>
        <v/>
      </c>
      <c r="J31" s="15" t="str">
        <f aca="false">IF(OR(C31&lt;&gt;"Closed",D31="",F31=""),"",IF(J11&gt;D31,"",I91*Loans!C7/12))</f>
        <v/>
      </c>
      <c r="K31" s="15" t="str">
        <f aca="false">IF(OR(C31&lt;&gt;"Closed",D31="",F31=""),"",IF(K11&gt;D31,"",J91*Loans!C7/12))</f>
        <v/>
      </c>
      <c r="L31" s="15" t="str">
        <f aca="false">IF(OR(C31&lt;&gt;"Closed",D31="",F31=""),"",IF(L11&gt;D31,"",K91*Loans!C7/12))</f>
        <v/>
      </c>
      <c r="M31" s="15" t="str">
        <f aca="false">IF(OR(C31&lt;&gt;"Closed",D31="",F31=""),"",IF(M11&gt;D31,"",L91*Loans!C7/12))</f>
        <v/>
      </c>
      <c r="N31" s="15" t="str">
        <f aca="false">IF(OR(C31&lt;&gt;"Closed",D31="",F31=""),"",IF(N11&gt;D31,"",M91*Loans!C7/12))</f>
        <v/>
      </c>
      <c r="O31" s="15" t="str">
        <f aca="false">IF(OR(C31&lt;&gt;"Closed",D31="",F31=""),"",IF(O11&gt;D31,"",N91*Loans!C7/12))</f>
        <v/>
      </c>
      <c r="P31" s="15" t="str">
        <f aca="false">IF(OR(C31&lt;&gt;"Closed",D31="",F31=""),"",IF(P11&gt;D31,"",O91*Loans!C7/12))</f>
        <v/>
      </c>
      <c r="Q31" s="15" t="str">
        <f aca="false">IF(OR(C31&lt;&gt;"Closed",D31="",F31=""),"",IF(Q11&gt;D31,"",P91*Loans!C7/12))</f>
        <v/>
      </c>
      <c r="R31" s="15" t="str">
        <f aca="false">IF(OR(C31&lt;&gt;"Closed",D31="",F31=""),"",IF(R11&gt;D31,"",Q91*Loans!C7/12))</f>
        <v/>
      </c>
      <c r="S31" s="15" t="str">
        <f aca="false">IF(OR(C31&lt;&gt;"Closed",D31="",F31=""),"",IF(S11&gt;D31,"",R91*Loans!C7/12))</f>
        <v/>
      </c>
      <c r="T31" s="15" t="str">
        <f aca="false">IF(OR(C31&lt;&gt;"Closed",D31="",F31=""),"",IF(T11&gt;D31,"",S91*Loans!C7/12))</f>
        <v/>
      </c>
      <c r="U31" s="15" t="str">
        <f aca="false">IF(OR(C31&lt;&gt;"Closed",D31="",F31=""),"",IF(U11&gt;D31,"",T91*Loans!C7/12))</f>
        <v/>
      </c>
      <c r="V31" s="15" t="str">
        <f aca="false">IF(OR(C31&lt;&gt;"Closed",D31="",F31=""),"",IF(V11&gt;D31,"",U91*Loans!C7/12))</f>
        <v/>
      </c>
      <c r="W31" s="15" t="str">
        <f aca="false">IF(OR(C31&lt;&gt;"Closed",D31="",F31=""),"",IF(W11&gt;D31,"",V91*Loans!C7/12))</f>
        <v/>
      </c>
      <c r="X31" s="15" t="str">
        <f aca="false">IF(OR(C31&lt;&gt;"Closed",D31="",F31=""),"",IF(X11&gt;D31,"",W91*Loans!C7/12))</f>
        <v/>
      </c>
      <c r="Y31" s="15" t="str">
        <f aca="false">IF(OR(C31&lt;&gt;"Closed",D31="",F31=""),"",IF(Y11&gt;D31,"",X91*Loans!C7/12))</f>
        <v/>
      </c>
      <c r="Z31" s="15" t="str">
        <f aca="false">IF(OR(C31&lt;&gt;"Closed",D31="",F31=""),"",IF(Z11&gt;D31,"",Y91*Loans!C7/12))</f>
        <v/>
      </c>
      <c r="AA31" s="15" t="str">
        <f aca="false">IF(OR(C31&lt;&gt;"Closed",D31="",F31=""),"",IF(AA11&gt;D31,"",Z91*Loans!C7/12))</f>
        <v/>
      </c>
      <c r="AB31" s="15" t="str">
        <f aca="false">IF(OR(C31&lt;&gt;"Closed",D31="",F31=""),"",IF(AB11&gt;D31,"",AA91*Loans!C7/12))</f>
        <v/>
      </c>
      <c r="AC31" s="15" t="str">
        <f aca="false">IF(OR(C31&lt;&gt;"Closed",D31="",F31=""),"",IF(AC11&gt;D31,"",AB91*Loans!C7/12))</f>
        <v/>
      </c>
      <c r="AD31" s="15" t="str">
        <f aca="false">IF(OR(C31&lt;&gt;"Closed",D31="",F31=""),"",IF(AD11&gt;D31,"",AC91*Loans!C7/12))</f>
        <v/>
      </c>
      <c r="AE31" s="15" t="str">
        <f aca="false">IF(OR(C31&lt;&gt;"Closed",D31="",F31=""),"",IF(AE11&gt;D31,"",AD91*Loans!C7/12))</f>
        <v/>
      </c>
      <c r="AF31" s="15" t="str">
        <f aca="false">IF(OR(C31&lt;&gt;"Closed",D31="",F31=""),"",IF(AF11&gt;D31,"",AE91*Loans!C7/12))</f>
        <v/>
      </c>
      <c r="AG31" s="15" t="str">
        <f aca="false">IF(OR(C31&lt;&gt;"Closed",D31="",F31=""),"",IF(AG11&gt;D31,"",AF91*Loans!C7/12))</f>
        <v/>
      </c>
      <c r="AH31" s="15" t="str">
        <f aca="false">IF(OR(C31&lt;&gt;"Closed",D31="",F31=""),"",IF(AH11&gt;D31,"",AG91*Loans!C7/12))</f>
        <v/>
      </c>
      <c r="AI31" s="15" t="str">
        <f aca="false">IF(OR(C31&lt;&gt;"Closed",D31="",F31=""),"",IF(AI11&gt;D31,"",AH91*Loans!C7/12))</f>
        <v/>
      </c>
      <c r="AJ31" s="15" t="str">
        <f aca="false">IF(OR(C31&lt;&gt;"Closed",D31="",F31=""),"",IF(AJ11&gt;D31,"",AI91*Loans!C7/12))</f>
        <v/>
      </c>
      <c r="AK31" s="15" t="str">
        <f aca="false">IF(OR(C31&lt;&gt;"Closed",D31="",F31=""),"",IF(AK11&gt;D31,"",AJ91*Loans!C7/12))</f>
        <v/>
      </c>
      <c r="AL31" s="15" t="str">
        <f aca="false">IF(OR(C31&lt;&gt;"Closed",D31="",F31=""),"",IF(AL11&gt;D31,"",AK91*Loans!C7/12))</f>
        <v/>
      </c>
      <c r="AM31" s="15" t="str">
        <f aca="false">IF(OR(C31&lt;&gt;"Closed",D31="",F31=""),"",IF(AM11&gt;D31,"",AL91*Loans!C7/12))</f>
        <v/>
      </c>
      <c r="AN31" s="15" t="str">
        <f aca="false">IF(OR(C31&lt;&gt;"Closed",D31="",F31=""),"",IF(AN11&gt;D31,"",AM91*Loans!C7/12))</f>
        <v/>
      </c>
      <c r="AO31" s="15" t="str">
        <f aca="false">IF(OR(C31&lt;&gt;"Closed",D31="",F31=""),"",IF(AO11&gt;D31,"",AN91*Loans!C7/12))</f>
        <v/>
      </c>
      <c r="AP31" s="15" t="str">
        <f aca="false">IF(OR(C31&lt;&gt;"Closed",D31="",F31=""),"",IF(AP11&gt;D31,"",AO91*Loans!C7/12))</f>
        <v/>
      </c>
      <c r="AQ31" s="15" t="str">
        <f aca="false">IF(OR(C31&lt;&gt;"Closed",D31="",F31=""),"",IF(AQ11&gt;D31,"",AP91*Loans!C7/12))</f>
        <v/>
      </c>
      <c r="AR31" s="15" t="str">
        <f aca="false">IF(OR(C31&lt;&gt;"Closed",D31="",F31=""),"",IF(AR11&gt;D31,"",AQ91*Loans!C7/12))</f>
        <v/>
      </c>
      <c r="AS31" s="15" t="str">
        <f aca="false">IF(OR(C31&lt;&gt;"Closed",D31="",F31=""),"",IF(AS11&gt;D31,"",AR91*Loans!C7/12))</f>
        <v/>
      </c>
      <c r="AT31" s="15" t="str">
        <f aca="false">IF(OR(C31&lt;&gt;"Closed",D31="",F31=""),"",IF(AT11&gt;D31,"",AS91*Loans!C7/12))</f>
        <v/>
      </c>
      <c r="AU31" s="15" t="str">
        <f aca="false">IF(OR(C31&lt;&gt;"Closed",D31="",F31=""),"",IF(AU11&gt;D31,"",AT91*Loans!C7/12))</f>
        <v/>
      </c>
      <c r="AV31" s="15" t="str">
        <f aca="false">IF(OR(C31&lt;&gt;"Closed",D31="",F31=""),"",IF(AV11&gt;D31,"",AU91*Loans!C7/12))</f>
        <v/>
      </c>
      <c r="AW31" s="15" t="str">
        <f aca="false">IF(OR(C31&lt;&gt;"Closed",D31="",F31=""),"",IF(AW11&gt;D31,"",AV91*Loans!C7/12))</f>
        <v/>
      </c>
      <c r="AX31" s="15" t="str">
        <f aca="false">IF(OR(C31&lt;&gt;"Closed",D31="",F31=""),"",IF(AX11&gt;D31,"",AW91*Loans!C7/12))</f>
        <v/>
      </c>
      <c r="AY31" s="15" t="str">
        <f aca="false">IF(OR(C31&lt;&gt;"Closed",D31="",F31=""),"",IF(AY11&gt;D31,"",AX91*Loans!C7/12))</f>
        <v/>
      </c>
      <c r="AZ31" s="15" t="str">
        <f aca="false">IF(OR(C31&lt;&gt;"Closed",D31="",F31=""),"",IF(AZ11&gt;D31,"",AY91*Loans!C7/12))</f>
        <v/>
      </c>
      <c r="BA31" s="15" t="str">
        <f aca="false">IF(OR(C31&lt;&gt;"Closed",D31="",F31=""),"",IF(BA11&gt;D31,"",AZ91*Loans!C7/12))</f>
        <v/>
      </c>
      <c r="BB31" s="15" t="str">
        <f aca="false">IF(OR(C31&lt;&gt;"Closed",D31="",F31=""),"",IF(BB11&gt;D31,"",BA91*Loans!C7/12))</f>
        <v/>
      </c>
      <c r="BC31" s="15" t="str">
        <f aca="false">IF(OR(C31&lt;&gt;"Closed",D31="",F31=""),"",IF(BC11&gt;D31,"",BB91*Loans!C7/12))</f>
        <v/>
      </c>
      <c r="BD31" s="15" t="str">
        <f aca="false">IF(OR(C31&lt;&gt;"Closed",D31="",F31=""),"",IF(BD11&gt;D31,"",BC91*Loans!C7/12))</f>
        <v/>
      </c>
      <c r="BE31" s="15" t="str">
        <f aca="false">IF(OR(C31&lt;&gt;"Closed",D31="",F31=""),"",IF(BE11&gt;D31,"",BD91*Loans!C7/12))</f>
        <v/>
      </c>
      <c r="BF31" s="15" t="str">
        <f aca="false">IF(OR(C31&lt;&gt;"Closed",D31="",F31=""),"",IF(BF11&gt;D31,"",BE91*Loans!C7/12))</f>
        <v/>
      </c>
      <c r="BG31" s="15" t="str">
        <f aca="false">IF(OR(C31&lt;&gt;"Closed",D31="",F31=""),"",IF(BG11&gt;D31,"",BF91*Loans!C7/12))</f>
        <v/>
      </c>
      <c r="BH31" s="15" t="str">
        <f aca="false">IF(OR(C31&lt;&gt;"Closed",D31="",F31=""),"",IF(BH11&gt;D31,"",BG91*Loans!C7/12))</f>
        <v/>
      </c>
      <c r="BI31" s="15" t="str">
        <f aca="false">IF(OR(C31&lt;&gt;"Closed",D31="",F31=""),"",IF(BI11&gt;D31,"",BH91*Loans!C7/12))</f>
        <v/>
      </c>
      <c r="BJ31" s="15" t="str">
        <f aca="false">IF(OR(C31&lt;&gt;"Closed",D31="",F31=""),"",IF(BJ11&gt;D31,"",BI91*Loans!C7/12))</f>
        <v/>
      </c>
      <c r="BK31" s="15" t="str">
        <f aca="false">IF(OR(C31&lt;&gt;"Closed",D31="",F31=""),"",IF(BK11&gt;D31,"",BJ91*Loans!C7/12))</f>
        <v/>
      </c>
      <c r="BL31" s="15" t="str">
        <f aca="false">IF(OR(C31&lt;&gt;"Closed",D31="",F31=""),"",IF(BL11&gt;D31,"",BK91*Loans!C7/12))</f>
        <v/>
      </c>
      <c r="BM31" s="15" t="str">
        <f aca="false">IF(OR(C31&lt;&gt;"Closed",D31="",F31=""),"",IF(BM11&gt;D31,"",BL91*Loans!C7/12))</f>
        <v/>
      </c>
      <c r="BN31" s="15" t="str">
        <f aca="false">IF(OR(C31&lt;&gt;"Closed",D31="",F31=""),"",IF(BN11&gt;D31,"",BM91*Loans!C7/12))</f>
        <v/>
      </c>
      <c r="BO31" s="15" t="str">
        <f aca="false">IF(OR(C31&lt;&gt;"Closed",D31="",F31=""),"",IF(BO11&gt;D31,"",BN91*Loans!C7/12))</f>
        <v/>
      </c>
      <c r="BP31" s="15" t="str">
        <f aca="false">IF(OR(C31&lt;&gt;"Closed",D31="",F31=""),"",IF(BP11&gt;D31,"",BO91*Loans!C7/12))</f>
        <v/>
      </c>
    </row>
    <row r="32" customFormat="false" ht="15" hidden="false" customHeight="false" outlineLevel="0" collapsed="false">
      <c r="A32" s="29" t="str">
        <f aca="false">IF(Loans!A32="","",Loans!A32)</f>
        <v/>
      </c>
      <c r="B32" s="29" t="str">
        <f aca="false">IF(Loans!B32="","",Loans!B32)</f>
        <v/>
      </c>
      <c r="C32" s="29" t="str">
        <f aca="false">IF(Loans!C32="","",Loans!C32)</f>
        <v/>
      </c>
      <c r="D32" s="16" t="str">
        <f aca="false">IF(Loans!I32="","",Loans!I32)</f>
        <v/>
      </c>
      <c r="E32" s="17" t="str">
        <f aca="false">IF(Loans!E32="","",Loans!E32)</f>
        <v/>
      </c>
      <c r="F32" s="15" t="str">
        <f aca="false">IF(Loans!F32="","",Loans!F32)</f>
        <v/>
      </c>
      <c r="G32" s="15" t="str">
        <f aca="false">IF(OR(C32&lt;&gt;"Closed",D32="",F32=""),"",PMT(Loans!C7/12,D32,-F32))</f>
        <v/>
      </c>
      <c r="H32" s="15" t="str">
        <f aca="false">IF(C32&lt;&gt;"Closed","",SUM(I32:BP32))</f>
        <v/>
      </c>
      <c r="I32" s="15" t="str">
        <f aca="false">IF(OR(C32&lt;&gt;"Closed",D32="",F32=""),"",IF(I11&gt;D32,"",F32*Loans!C7/12))</f>
        <v/>
      </c>
      <c r="J32" s="15" t="str">
        <f aca="false">IF(OR(C32&lt;&gt;"Closed",D32="",F32=""),"",IF(J11&gt;D32,"",I92*Loans!C7/12))</f>
        <v/>
      </c>
      <c r="K32" s="15" t="str">
        <f aca="false">IF(OR(C32&lt;&gt;"Closed",D32="",F32=""),"",IF(K11&gt;D32,"",J92*Loans!C7/12))</f>
        <v/>
      </c>
      <c r="L32" s="15" t="str">
        <f aca="false">IF(OR(C32&lt;&gt;"Closed",D32="",F32=""),"",IF(L11&gt;D32,"",K92*Loans!C7/12))</f>
        <v/>
      </c>
      <c r="M32" s="15" t="str">
        <f aca="false">IF(OR(C32&lt;&gt;"Closed",D32="",F32=""),"",IF(M11&gt;D32,"",L92*Loans!C7/12))</f>
        <v/>
      </c>
      <c r="N32" s="15" t="str">
        <f aca="false">IF(OR(C32&lt;&gt;"Closed",D32="",F32=""),"",IF(N11&gt;D32,"",M92*Loans!C7/12))</f>
        <v/>
      </c>
      <c r="O32" s="15" t="str">
        <f aca="false">IF(OR(C32&lt;&gt;"Closed",D32="",F32=""),"",IF(O11&gt;D32,"",N92*Loans!C7/12))</f>
        <v/>
      </c>
      <c r="P32" s="15" t="str">
        <f aca="false">IF(OR(C32&lt;&gt;"Closed",D32="",F32=""),"",IF(P11&gt;D32,"",O92*Loans!C7/12))</f>
        <v/>
      </c>
      <c r="Q32" s="15" t="str">
        <f aca="false">IF(OR(C32&lt;&gt;"Closed",D32="",F32=""),"",IF(Q11&gt;D32,"",P92*Loans!C7/12))</f>
        <v/>
      </c>
      <c r="R32" s="15" t="str">
        <f aca="false">IF(OR(C32&lt;&gt;"Closed",D32="",F32=""),"",IF(R11&gt;D32,"",Q92*Loans!C7/12))</f>
        <v/>
      </c>
      <c r="S32" s="15" t="str">
        <f aca="false">IF(OR(C32&lt;&gt;"Closed",D32="",F32=""),"",IF(S11&gt;D32,"",R92*Loans!C7/12))</f>
        <v/>
      </c>
      <c r="T32" s="15" t="str">
        <f aca="false">IF(OR(C32&lt;&gt;"Closed",D32="",F32=""),"",IF(T11&gt;D32,"",S92*Loans!C7/12))</f>
        <v/>
      </c>
      <c r="U32" s="15" t="str">
        <f aca="false">IF(OR(C32&lt;&gt;"Closed",D32="",F32=""),"",IF(U11&gt;D32,"",T92*Loans!C7/12))</f>
        <v/>
      </c>
      <c r="V32" s="15" t="str">
        <f aca="false">IF(OR(C32&lt;&gt;"Closed",D32="",F32=""),"",IF(V11&gt;D32,"",U92*Loans!C7/12))</f>
        <v/>
      </c>
      <c r="W32" s="15" t="str">
        <f aca="false">IF(OR(C32&lt;&gt;"Closed",D32="",F32=""),"",IF(W11&gt;D32,"",V92*Loans!C7/12))</f>
        <v/>
      </c>
      <c r="X32" s="15" t="str">
        <f aca="false">IF(OR(C32&lt;&gt;"Closed",D32="",F32=""),"",IF(X11&gt;D32,"",W92*Loans!C7/12))</f>
        <v/>
      </c>
      <c r="Y32" s="15" t="str">
        <f aca="false">IF(OR(C32&lt;&gt;"Closed",D32="",F32=""),"",IF(Y11&gt;D32,"",X92*Loans!C7/12))</f>
        <v/>
      </c>
      <c r="Z32" s="15" t="str">
        <f aca="false">IF(OR(C32&lt;&gt;"Closed",D32="",F32=""),"",IF(Z11&gt;D32,"",Y92*Loans!C7/12))</f>
        <v/>
      </c>
      <c r="AA32" s="15" t="str">
        <f aca="false">IF(OR(C32&lt;&gt;"Closed",D32="",F32=""),"",IF(AA11&gt;D32,"",Z92*Loans!C7/12))</f>
        <v/>
      </c>
      <c r="AB32" s="15" t="str">
        <f aca="false">IF(OR(C32&lt;&gt;"Closed",D32="",F32=""),"",IF(AB11&gt;D32,"",AA92*Loans!C7/12))</f>
        <v/>
      </c>
      <c r="AC32" s="15" t="str">
        <f aca="false">IF(OR(C32&lt;&gt;"Closed",D32="",F32=""),"",IF(AC11&gt;D32,"",AB92*Loans!C7/12))</f>
        <v/>
      </c>
      <c r="AD32" s="15" t="str">
        <f aca="false">IF(OR(C32&lt;&gt;"Closed",D32="",F32=""),"",IF(AD11&gt;D32,"",AC92*Loans!C7/12))</f>
        <v/>
      </c>
      <c r="AE32" s="15" t="str">
        <f aca="false">IF(OR(C32&lt;&gt;"Closed",D32="",F32=""),"",IF(AE11&gt;D32,"",AD92*Loans!C7/12))</f>
        <v/>
      </c>
      <c r="AF32" s="15" t="str">
        <f aca="false">IF(OR(C32&lt;&gt;"Closed",D32="",F32=""),"",IF(AF11&gt;D32,"",AE92*Loans!C7/12))</f>
        <v/>
      </c>
      <c r="AG32" s="15" t="str">
        <f aca="false">IF(OR(C32&lt;&gt;"Closed",D32="",F32=""),"",IF(AG11&gt;D32,"",AF92*Loans!C7/12))</f>
        <v/>
      </c>
      <c r="AH32" s="15" t="str">
        <f aca="false">IF(OR(C32&lt;&gt;"Closed",D32="",F32=""),"",IF(AH11&gt;D32,"",AG92*Loans!C7/12))</f>
        <v/>
      </c>
      <c r="AI32" s="15" t="str">
        <f aca="false">IF(OR(C32&lt;&gt;"Closed",D32="",F32=""),"",IF(AI11&gt;D32,"",AH92*Loans!C7/12))</f>
        <v/>
      </c>
      <c r="AJ32" s="15" t="str">
        <f aca="false">IF(OR(C32&lt;&gt;"Closed",D32="",F32=""),"",IF(AJ11&gt;D32,"",AI92*Loans!C7/12))</f>
        <v/>
      </c>
      <c r="AK32" s="15" t="str">
        <f aca="false">IF(OR(C32&lt;&gt;"Closed",D32="",F32=""),"",IF(AK11&gt;D32,"",AJ92*Loans!C7/12))</f>
        <v/>
      </c>
      <c r="AL32" s="15" t="str">
        <f aca="false">IF(OR(C32&lt;&gt;"Closed",D32="",F32=""),"",IF(AL11&gt;D32,"",AK92*Loans!C7/12))</f>
        <v/>
      </c>
      <c r="AM32" s="15" t="str">
        <f aca="false">IF(OR(C32&lt;&gt;"Closed",D32="",F32=""),"",IF(AM11&gt;D32,"",AL92*Loans!C7/12))</f>
        <v/>
      </c>
      <c r="AN32" s="15" t="str">
        <f aca="false">IF(OR(C32&lt;&gt;"Closed",D32="",F32=""),"",IF(AN11&gt;D32,"",AM92*Loans!C7/12))</f>
        <v/>
      </c>
      <c r="AO32" s="15" t="str">
        <f aca="false">IF(OR(C32&lt;&gt;"Closed",D32="",F32=""),"",IF(AO11&gt;D32,"",AN92*Loans!C7/12))</f>
        <v/>
      </c>
      <c r="AP32" s="15" t="str">
        <f aca="false">IF(OR(C32&lt;&gt;"Closed",D32="",F32=""),"",IF(AP11&gt;D32,"",AO92*Loans!C7/12))</f>
        <v/>
      </c>
      <c r="AQ32" s="15" t="str">
        <f aca="false">IF(OR(C32&lt;&gt;"Closed",D32="",F32=""),"",IF(AQ11&gt;D32,"",AP92*Loans!C7/12))</f>
        <v/>
      </c>
      <c r="AR32" s="15" t="str">
        <f aca="false">IF(OR(C32&lt;&gt;"Closed",D32="",F32=""),"",IF(AR11&gt;D32,"",AQ92*Loans!C7/12))</f>
        <v/>
      </c>
      <c r="AS32" s="15" t="str">
        <f aca="false">IF(OR(C32&lt;&gt;"Closed",D32="",F32=""),"",IF(AS11&gt;D32,"",AR92*Loans!C7/12))</f>
        <v/>
      </c>
      <c r="AT32" s="15" t="str">
        <f aca="false">IF(OR(C32&lt;&gt;"Closed",D32="",F32=""),"",IF(AT11&gt;D32,"",AS92*Loans!C7/12))</f>
        <v/>
      </c>
      <c r="AU32" s="15" t="str">
        <f aca="false">IF(OR(C32&lt;&gt;"Closed",D32="",F32=""),"",IF(AU11&gt;D32,"",AT92*Loans!C7/12))</f>
        <v/>
      </c>
      <c r="AV32" s="15" t="str">
        <f aca="false">IF(OR(C32&lt;&gt;"Closed",D32="",F32=""),"",IF(AV11&gt;D32,"",AU92*Loans!C7/12))</f>
        <v/>
      </c>
      <c r="AW32" s="15" t="str">
        <f aca="false">IF(OR(C32&lt;&gt;"Closed",D32="",F32=""),"",IF(AW11&gt;D32,"",AV92*Loans!C7/12))</f>
        <v/>
      </c>
      <c r="AX32" s="15" t="str">
        <f aca="false">IF(OR(C32&lt;&gt;"Closed",D32="",F32=""),"",IF(AX11&gt;D32,"",AW92*Loans!C7/12))</f>
        <v/>
      </c>
      <c r="AY32" s="15" t="str">
        <f aca="false">IF(OR(C32&lt;&gt;"Closed",D32="",F32=""),"",IF(AY11&gt;D32,"",AX92*Loans!C7/12))</f>
        <v/>
      </c>
      <c r="AZ32" s="15" t="str">
        <f aca="false">IF(OR(C32&lt;&gt;"Closed",D32="",F32=""),"",IF(AZ11&gt;D32,"",AY92*Loans!C7/12))</f>
        <v/>
      </c>
      <c r="BA32" s="15" t="str">
        <f aca="false">IF(OR(C32&lt;&gt;"Closed",D32="",F32=""),"",IF(BA11&gt;D32,"",AZ92*Loans!C7/12))</f>
        <v/>
      </c>
      <c r="BB32" s="15" t="str">
        <f aca="false">IF(OR(C32&lt;&gt;"Closed",D32="",F32=""),"",IF(BB11&gt;D32,"",BA92*Loans!C7/12))</f>
        <v/>
      </c>
      <c r="BC32" s="15" t="str">
        <f aca="false">IF(OR(C32&lt;&gt;"Closed",D32="",F32=""),"",IF(BC11&gt;D32,"",BB92*Loans!C7/12))</f>
        <v/>
      </c>
      <c r="BD32" s="15" t="str">
        <f aca="false">IF(OR(C32&lt;&gt;"Closed",D32="",F32=""),"",IF(BD11&gt;D32,"",BC92*Loans!C7/12))</f>
        <v/>
      </c>
      <c r="BE32" s="15" t="str">
        <f aca="false">IF(OR(C32&lt;&gt;"Closed",D32="",F32=""),"",IF(BE11&gt;D32,"",BD92*Loans!C7/12))</f>
        <v/>
      </c>
      <c r="BF32" s="15" t="str">
        <f aca="false">IF(OR(C32&lt;&gt;"Closed",D32="",F32=""),"",IF(BF11&gt;D32,"",BE92*Loans!C7/12))</f>
        <v/>
      </c>
      <c r="BG32" s="15" t="str">
        <f aca="false">IF(OR(C32&lt;&gt;"Closed",D32="",F32=""),"",IF(BG11&gt;D32,"",BF92*Loans!C7/12))</f>
        <v/>
      </c>
      <c r="BH32" s="15" t="str">
        <f aca="false">IF(OR(C32&lt;&gt;"Closed",D32="",F32=""),"",IF(BH11&gt;D32,"",BG92*Loans!C7/12))</f>
        <v/>
      </c>
      <c r="BI32" s="15" t="str">
        <f aca="false">IF(OR(C32&lt;&gt;"Closed",D32="",F32=""),"",IF(BI11&gt;D32,"",BH92*Loans!C7/12))</f>
        <v/>
      </c>
      <c r="BJ32" s="15" t="str">
        <f aca="false">IF(OR(C32&lt;&gt;"Closed",D32="",F32=""),"",IF(BJ11&gt;D32,"",BI92*Loans!C7/12))</f>
        <v/>
      </c>
      <c r="BK32" s="15" t="str">
        <f aca="false">IF(OR(C32&lt;&gt;"Closed",D32="",F32=""),"",IF(BK11&gt;D32,"",BJ92*Loans!C7/12))</f>
        <v/>
      </c>
      <c r="BL32" s="15" t="str">
        <f aca="false">IF(OR(C32&lt;&gt;"Closed",D32="",F32=""),"",IF(BL11&gt;D32,"",BK92*Loans!C7/12))</f>
        <v/>
      </c>
      <c r="BM32" s="15" t="str">
        <f aca="false">IF(OR(C32&lt;&gt;"Closed",D32="",F32=""),"",IF(BM11&gt;D32,"",BL92*Loans!C7/12))</f>
        <v/>
      </c>
      <c r="BN32" s="15" t="str">
        <f aca="false">IF(OR(C32&lt;&gt;"Closed",D32="",F32=""),"",IF(BN11&gt;D32,"",BM92*Loans!C7/12))</f>
        <v/>
      </c>
      <c r="BO32" s="15" t="str">
        <f aca="false">IF(OR(C32&lt;&gt;"Closed",D32="",F32=""),"",IF(BO11&gt;D32,"",BN92*Loans!C7/12))</f>
        <v/>
      </c>
      <c r="BP32" s="15" t="str">
        <f aca="false">IF(OR(C32&lt;&gt;"Closed",D32="",F32=""),"",IF(BP11&gt;D32,"",BO92*Loans!C7/12))</f>
        <v/>
      </c>
    </row>
    <row r="33" customFormat="false" ht="15" hidden="false" customHeight="false" outlineLevel="0" collapsed="false">
      <c r="A33" s="29" t="str">
        <f aca="false">IF(Loans!A33="","",Loans!A33)</f>
        <v/>
      </c>
      <c r="B33" s="29" t="str">
        <f aca="false">IF(Loans!B33="","",Loans!B33)</f>
        <v/>
      </c>
      <c r="C33" s="29" t="str">
        <f aca="false">IF(Loans!C33="","",Loans!C33)</f>
        <v/>
      </c>
      <c r="D33" s="16" t="str">
        <f aca="false">IF(Loans!I33="","",Loans!I33)</f>
        <v/>
      </c>
      <c r="E33" s="17" t="str">
        <f aca="false">IF(Loans!E33="","",Loans!E33)</f>
        <v/>
      </c>
      <c r="F33" s="15" t="str">
        <f aca="false">IF(Loans!F33="","",Loans!F33)</f>
        <v/>
      </c>
      <c r="G33" s="15" t="str">
        <f aca="false">IF(OR(C33&lt;&gt;"Closed",D33="",F33=""),"",PMT(Loans!C7/12,D33,-F33))</f>
        <v/>
      </c>
      <c r="H33" s="15" t="str">
        <f aca="false">IF(C33&lt;&gt;"Closed","",SUM(I33:BP33))</f>
        <v/>
      </c>
      <c r="I33" s="15" t="str">
        <f aca="false">IF(OR(C33&lt;&gt;"Closed",D33="",F33=""),"",IF(I11&gt;D33,"",F33*Loans!C7/12))</f>
        <v/>
      </c>
      <c r="J33" s="15" t="str">
        <f aca="false">IF(OR(C33&lt;&gt;"Closed",D33="",F33=""),"",IF(J11&gt;D33,"",I93*Loans!C7/12))</f>
        <v/>
      </c>
      <c r="K33" s="15" t="str">
        <f aca="false">IF(OR(C33&lt;&gt;"Closed",D33="",F33=""),"",IF(K11&gt;D33,"",J93*Loans!C7/12))</f>
        <v/>
      </c>
      <c r="L33" s="15" t="str">
        <f aca="false">IF(OR(C33&lt;&gt;"Closed",D33="",F33=""),"",IF(L11&gt;D33,"",K93*Loans!C7/12))</f>
        <v/>
      </c>
      <c r="M33" s="15" t="str">
        <f aca="false">IF(OR(C33&lt;&gt;"Closed",D33="",F33=""),"",IF(M11&gt;D33,"",L93*Loans!C7/12))</f>
        <v/>
      </c>
      <c r="N33" s="15" t="str">
        <f aca="false">IF(OR(C33&lt;&gt;"Closed",D33="",F33=""),"",IF(N11&gt;D33,"",M93*Loans!C7/12))</f>
        <v/>
      </c>
      <c r="O33" s="15" t="str">
        <f aca="false">IF(OR(C33&lt;&gt;"Closed",D33="",F33=""),"",IF(O11&gt;D33,"",N93*Loans!C7/12))</f>
        <v/>
      </c>
      <c r="P33" s="15" t="str">
        <f aca="false">IF(OR(C33&lt;&gt;"Closed",D33="",F33=""),"",IF(P11&gt;D33,"",O93*Loans!C7/12))</f>
        <v/>
      </c>
      <c r="Q33" s="15" t="str">
        <f aca="false">IF(OR(C33&lt;&gt;"Closed",D33="",F33=""),"",IF(Q11&gt;D33,"",P93*Loans!C7/12))</f>
        <v/>
      </c>
      <c r="R33" s="15" t="str">
        <f aca="false">IF(OR(C33&lt;&gt;"Closed",D33="",F33=""),"",IF(R11&gt;D33,"",Q93*Loans!C7/12))</f>
        <v/>
      </c>
      <c r="S33" s="15" t="str">
        <f aca="false">IF(OR(C33&lt;&gt;"Closed",D33="",F33=""),"",IF(S11&gt;D33,"",R93*Loans!C7/12))</f>
        <v/>
      </c>
      <c r="T33" s="15" t="str">
        <f aca="false">IF(OR(C33&lt;&gt;"Closed",D33="",F33=""),"",IF(T11&gt;D33,"",S93*Loans!C7/12))</f>
        <v/>
      </c>
      <c r="U33" s="15" t="str">
        <f aca="false">IF(OR(C33&lt;&gt;"Closed",D33="",F33=""),"",IF(U11&gt;D33,"",T93*Loans!C7/12))</f>
        <v/>
      </c>
      <c r="V33" s="15" t="str">
        <f aca="false">IF(OR(C33&lt;&gt;"Closed",D33="",F33=""),"",IF(V11&gt;D33,"",U93*Loans!C7/12))</f>
        <v/>
      </c>
      <c r="W33" s="15" t="str">
        <f aca="false">IF(OR(C33&lt;&gt;"Closed",D33="",F33=""),"",IF(W11&gt;D33,"",V93*Loans!C7/12))</f>
        <v/>
      </c>
      <c r="X33" s="15" t="str">
        <f aca="false">IF(OR(C33&lt;&gt;"Closed",D33="",F33=""),"",IF(X11&gt;D33,"",W93*Loans!C7/12))</f>
        <v/>
      </c>
      <c r="Y33" s="15" t="str">
        <f aca="false">IF(OR(C33&lt;&gt;"Closed",D33="",F33=""),"",IF(Y11&gt;D33,"",X93*Loans!C7/12))</f>
        <v/>
      </c>
      <c r="Z33" s="15" t="str">
        <f aca="false">IF(OR(C33&lt;&gt;"Closed",D33="",F33=""),"",IF(Z11&gt;D33,"",Y93*Loans!C7/12))</f>
        <v/>
      </c>
      <c r="AA33" s="15" t="str">
        <f aca="false">IF(OR(C33&lt;&gt;"Closed",D33="",F33=""),"",IF(AA11&gt;D33,"",Z93*Loans!C7/12))</f>
        <v/>
      </c>
      <c r="AB33" s="15" t="str">
        <f aca="false">IF(OR(C33&lt;&gt;"Closed",D33="",F33=""),"",IF(AB11&gt;D33,"",AA93*Loans!C7/12))</f>
        <v/>
      </c>
      <c r="AC33" s="15" t="str">
        <f aca="false">IF(OR(C33&lt;&gt;"Closed",D33="",F33=""),"",IF(AC11&gt;D33,"",AB93*Loans!C7/12))</f>
        <v/>
      </c>
      <c r="AD33" s="15" t="str">
        <f aca="false">IF(OR(C33&lt;&gt;"Closed",D33="",F33=""),"",IF(AD11&gt;D33,"",AC93*Loans!C7/12))</f>
        <v/>
      </c>
      <c r="AE33" s="15" t="str">
        <f aca="false">IF(OR(C33&lt;&gt;"Closed",D33="",F33=""),"",IF(AE11&gt;D33,"",AD93*Loans!C7/12))</f>
        <v/>
      </c>
      <c r="AF33" s="15" t="str">
        <f aca="false">IF(OR(C33&lt;&gt;"Closed",D33="",F33=""),"",IF(AF11&gt;D33,"",AE93*Loans!C7/12))</f>
        <v/>
      </c>
      <c r="AG33" s="15" t="str">
        <f aca="false">IF(OR(C33&lt;&gt;"Closed",D33="",F33=""),"",IF(AG11&gt;D33,"",AF93*Loans!C7/12))</f>
        <v/>
      </c>
      <c r="AH33" s="15" t="str">
        <f aca="false">IF(OR(C33&lt;&gt;"Closed",D33="",F33=""),"",IF(AH11&gt;D33,"",AG93*Loans!C7/12))</f>
        <v/>
      </c>
      <c r="AI33" s="15" t="str">
        <f aca="false">IF(OR(C33&lt;&gt;"Closed",D33="",F33=""),"",IF(AI11&gt;D33,"",AH93*Loans!C7/12))</f>
        <v/>
      </c>
      <c r="AJ33" s="15" t="str">
        <f aca="false">IF(OR(C33&lt;&gt;"Closed",D33="",F33=""),"",IF(AJ11&gt;D33,"",AI93*Loans!C7/12))</f>
        <v/>
      </c>
      <c r="AK33" s="15" t="str">
        <f aca="false">IF(OR(C33&lt;&gt;"Closed",D33="",F33=""),"",IF(AK11&gt;D33,"",AJ93*Loans!C7/12))</f>
        <v/>
      </c>
      <c r="AL33" s="15" t="str">
        <f aca="false">IF(OR(C33&lt;&gt;"Closed",D33="",F33=""),"",IF(AL11&gt;D33,"",AK93*Loans!C7/12))</f>
        <v/>
      </c>
      <c r="AM33" s="15" t="str">
        <f aca="false">IF(OR(C33&lt;&gt;"Closed",D33="",F33=""),"",IF(AM11&gt;D33,"",AL93*Loans!C7/12))</f>
        <v/>
      </c>
      <c r="AN33" s="15" t="str">
        <f aca="false">IF(OR(C33&lt;&gt;"Closed",D33="",F33=""),"",IF(AN11&gt;D33,"",AM93*Loans!C7/12))</f>
        <v/>
      </c>
      <c r="AO33" s="15" t="str">
        <f aca="false">IF(OR(C33&lt;&gt;"Closed",D33="",F33=""),"",IF(AO11&gt;D33,"",AN93*Loans!C7/12))</f>
        <v/>
      </c>
      <c r="AP33" s="15" t="str">
        <f aca="false">IF(OR(C33&lt;&gt;"Closed",D33="",F33=""),"",IF(AP11&gt;D33,"",AO93*Loans!C7/12))</f>
        <v/>
      </c>
      <c r="AQ33" s="15" t="str">
        <f aca="false">IF(OR(C33&lt;&gt;"Closed",D33="",F33=""),"",IF(AQ11&gt;D33,"",AP93*Loans!C7/12))</f>
        <v/>
      </c>
      <c r="AR33" s="15" t="str">
        <f aca="false">IF(OR(C33&lt;&gt;"Closed",D33="",F33=""),"",IF(AR11&gt;D33,"",AQ93*Loans!C7/12))</f>
        <v/>
      </c>
      <c r="AS33" s="15" t="str">
        <f aca="false">IF(OR(C33&lt;&gt;"Closed",D33="",F33=""),"",IF(AS11&gt;D33,"",AR93*Loans!C7/12))</f>
        <v/>
      </c>
      <c r="AT33" s="15" t="str">
        <f aca="false">IF(OR(C33&lt;&gt;"Closed",D33="",F33=""),"",IF(AT11&gt;D33,"",AS93*Loans!C7/12))</f>
        <v/>
      </c>
      <c r="AU33" s="15" t="str">
        <f aca="false">IF(OR(C33&lt;&gt;"Closed",D33="",F33=""),"",IF(AU11&gt;D33,"",AT93*Loans!C7/12))</f>
        <v/>
      </c>
      <c r="AV33" s="15" t="str">
        <f aca="false">IF(OR(C33&lt;&gt;"Closed",D33="",F33=""),"",IF(AV11&gt;D33,"",AU93*Loans!C7/12))</f>
        <v/>
      </c>
      <c r="AW33" s="15" t="str">
        <f aca="false">IF(OR(C33&lt;&gt;"Closed",D33="",F33=""),"",IF(AW11&gt;D33,"",AV93*Loans!C7/12))</f>
        <v/>
      </c>
      <c r="AX33" s="15" t="str">
        <f aca="false">IF(OR(C33&lt;&gt;"Closed",D33="",F33=""),"",IF(AX11&gt;D33,"",AW93*Loans!C7/12))</f>
        <v/>
      </c>
      <c r="AY33" s="15" t="str">
        <f aca="false">IF(OR(C33&lt;&gt;"Closed",D33="",F33=""),"",IF(AY11&gt;D33,"",AX93*Loans!C7/12))</f>
        <v/>
      </c>
      <c r="AZ33" s="15" t="str">
        <f aca="false">IF(OR(C33&lt;&gt;"Closed",D33="",F33=""),"",IF(AZ11&gt;D33,"",AY93*Loans!C7/12))</f>
        <v/>
      </c>
      <c r="BA33" s="15" t="str">
        <f aca="false">IF(OR(C33&lt;&gt;"Closed",D33="",F33=""),"",IF(BA11&gt;D33,"",AZ93*Loans!C7/12))</f>
        <v/>
      </c>
      <c r="BB33" s="15" t="str">
        <f aca="false">IF(OR(C33&lt;&gt;"Closed",D33="",F33=""),"",IF(BB11&gt;D33,"",BA93*Loans!C7/12))</f>
        <v/>
      </c>
      <c r="BC33" s="15" t="str">
        <f aca="false">IF(OR(C33&lt;&gt;"Closed",D33="",F33=""),"",IF(BC11&gt;D33,"",BB93*Loans!C7/12))</f>
        <v/>
      </c>
      <c r="BD33" s="15" t="str">
        <f aca="false">IF(OR(C33&lt;&gt;"Closed",D33="",F33=""),"",IF(BD11&gt;D33,"",BC93*Loans!C7/12))</f>
        <v/>
      </c>
      <c r="BE33" s="15" t="str">
        <f aca="false">IF(OR(C33&lt;&gt;"Closed",D33="",F33=""),"",IF(BE11&gt;D33,"",BD93*Loans!C7/12))</f>
        <v/>
      </c>
      <c r="BF33" s="15" t="str">
        <f aca="false">IF(OR(C33&lt;&gt;"Closed",D33="",F33=""),"",IF(BF11&gt;D33,"",BE93*Loans!C7/12))</f>
        <v/>
      </c>
      <c r="BG33" s="15" t="str">
        <f aca="false">IF(OR(C33&lt;&gt;"Closed",D33="",F33=""),"",IF(BG11&gt;D33,"",BF93*Loans!C7/12))</f>
        <v/>
      </c>
      <c r="BH33" s="15" t="str">
        <f aca="false">IF(OR(C33&lt;&gt;"Closed",D33="",F33=""),"",IF(BH11&gt;D33,"",BG93*Loans!C7/12))</f>
        <v/>
      </c>
      <c r="BI33" s="15" t="str">
        <f aca="false">IF(OR(C33&lt;&gt;"Closed",D33="",F33=""),"",IF(BI11&gt;D33,"",BH93*Loans!C7/12))</f>
        <v/>
      </c>
      <c r="BJ33" s="15" t="str">
        <f aca="false">IF(OR(C33&lt;&gt;"Closed",D33="",F33=""),"",IF(BJ11&gt;D33,"",BI93*Loans!C7/12))</f>
        <v/>
      </c>
      <c r="BK33" s="15" t="str">
        <f aca="false">IF(OR(C33&lt;&gt;"Closed",D33="",F33=""),"",IF(BK11&gt;D33,"",BJ93*Loans!C7/12))</f>
        <v/>
      </c>
      <c r="BL33" s="15" t="str">
        <f aca="false">IF(OR(C33&lt;&gt;"Closed",D33="",F33=""),"",IF(BL11&gt;D33,"",BK93*Loans!C7/12))</f>
        <v/>
      </c>
      <c r="BM33" s="15" t="str">
        <f aca="false">IF(OR(C33&lt;&gt;"Closed",D33="",F33=""),"",IF(BM11&gt;D33,"",BL93*Loans!C7/12))</f>
        <v/>
      </c>
      <c r="BN33" s="15" t="str">
        <f aca="false">IF(OR(C33&lt;&gt;"Closed",D33="",F33=""),"",IF(BN11&gt;D33,"",BM93*Loans!C7/12))</f>
        <v/>
      </c>
      <c r="BO33" s="15" t="str">
        <f aca="false">IF(OR(C33&lt;&gt;"Closed",D33="",F33=""),"",IF(BO11&gt;D33,"",BN93*Loans!C7/12))</f>
        <v/>
      </c>
      <c r="BP33" s="15" t="str">
        <f aca="false">IF(OR(C33&lt;&gt;"Closed",D33="",F33=""),"",IF(BP11&gt;D33,"",BO93*Loans!C7/12))</f>
        <v/>
      </c>
    </row>
    <row r="34" customFormat="false" ht="15" hidden="false" customHeight="false" outlineLevel="0" collapsed="false">
      <c r="A34" s="29" t="str">
        <f aca="false">IF(Loans!A34="","",Loans!A34)</f>
        <v/>
      </c>
      <c r="B34" s="29" t="str">
        <f aca="false">IF(Loans!B34="","",Loans!B34)</f>
        <v/>
      </c>
      <c r="C34" s="29" t="str">
        <f aca="false">IF(Loans!C34="","",Loans!C34)</f>
        <v/>
      </c>
      <c r="D34" s="16" t="str">
        <f aca="false">IF(Loans!I34="","",Loans!I34)</f>
        <v/>
      </c>
      <c r="E34" s="17" t="str">
        <f aca="false">IF(Loans!E34="","",Loans!E34)</f>
        <v/>
      </c>
      <c r="F34" s="15" t="str">
        <f aca="false">IF(Loans!F34="","",Loans!F34)</f>
        <v/>
      </c>
      <c r="G34" s="15" t="str">
        <f aca="false">IF(OR(C34&lt;&gt;"Closed",D34="",F34=""),"",PMT(Loans!C7/12,D34,-F34))</f>
        <v/>
      </c>
      <c r="H34" s="15" t="str">
        <f aca="false">IF(C34&lt;&gt;"Closed","",SUM(I34:BP34))</f>
        <v/>
      </c>
      <c r="I34" s="15" t="str">
        <f aca="false">IF(OR(C34&lt;&gt;"Closed",D34="",F34=""),"",IF(I11&gt;D34,"",F34*Loans!C7/12))</f>
        <v/>
      </c>
      <c r="J34" s="15" t="str">
        <f aca="false">IF(OR(C34&lt;&gt;"Closed",D34="",F34=""),"",IF(J11&gt;D34,"",I94*Loans!C7/12))</f>
        <v/>
      </c>
      <c r="K34" s="15" t="str">
        <f aca="false">IF(OR(C34&lt;&gt;"Closed",D34="",F34=""),"",IF(K11&gt;D34,"",J94*Loans!C7/12))</f>
        <v/>
      </c>
      <c r="L34" s="15" t="str">
        <f aca="false">IF(OR(C34&lt;&gt;"Closed",D34="",F34=""),"",IF(L11&gt;D34,"",K94*Loans!C7/12))</f>
        <v/>
      </c>
      <c r="M34" s="15" t="str">
        <f aca="false">IF(OR(C34&lt;&gt;"Closed",D34="",F34=""),"",IF(M11&gt;D34,"",L94*Loans!C7/12))</f>
        <v/>
      </c>
      <c r="N34" s="15" t="str">
        <f aca="false">IF(OR(C34&lt;&gt;"Closed",D34="",F34=""),"",IF(N11&gt;D34,"",M94*Loans!C7/12))</f>
        <v/>
      </c>
      <c r="O34" s="15" t="str">
        <f aca="false">IF(OR(C34&lt;&gt;"Closed",D34="",F34=""),"",IF(O11&gt;D34,"",N94*Loans!C7/12))</f>
        <v/>
      </c>
      <c r="P34" s="15" t="str">
        <f aca="false">IF(OR(C34&lt;&gt;"Closed",D34="",F34=""),"",IF(P11&gt;D34,"",O94*Loans!C7/12))</f>
        <v/>
      </c>
      <c r="Q34" s="15" t="str">
        <f aca="false">IF(OR(C34&lt;&gt;"Closed",D34="",F34=""),"",IF(Q11&gt;D34,"",P94*Loans!C7/12))</f>
        <v/>
      </c>
      <c r="R34" s="15" t="str">
        <f aca="false">IF(OR(C34&lt;&gt;"Closed",D34="",F34=""),"",IF(R11&gt;D34,"",Q94*Loans!C7/12))</f>
        <v/>
      </c>
      <c r="S34" s="15" t="str">
        <f aca="false">IF(OR(C34&lt;&gt;"Closed",D34="",F34=""),"",IF(S11&gt;D34,"",R94*Loans!C7/12))</f>
        <v/>
      </c>
      <c r="T34" s="15" t="str">
        <f aca="false">IF(OR(C34&lt;&gt;"Closed",D34="",F34=""),"",IF(T11&gt;D34,"",S94*Loans!C7/12))</f>
        <v/>
      </c>
      <c r="U34" s="15" t="str">
        <f aca="false">IF(OR(C34&lt;&gt;"Closed",D34="",F34=""),"",IF(U11&gt;D34,"",T94*Loans!C7/12))</f>
        <v/>
      </c>
      <c r="V34" s="15" t="str">
        <f aca="false">IF(OR(C34&lt;&gt;"Closed",D34="",F34=""),"",IF(V11&gt;D34,"",U94*Loans!C7/12))</f>
        <v/>
      </c>
      <c r="W34" s="15" t="str">
        <f aca="false">IF(OR(C34&lt;&gt;"Closed",D34="",F34=""),"",IF(W11&gt;D34,"",V94*Loans!C7/12))</f>
        <v/>
      </c>
      <c r="X34" s="15" t="str">
        <f aca="false">IF(OR(C34&lt;&gt;"Closed",D34="",F34=""),"",IF(X11&gt;D34,"",W94*Loans!C7/12))</f>
        <v/>
      </c>
      <c r="Y34" s="15" t="str">
        <f aca="false">IF(OR(C34&lt;&gt;"Closed",D34="",F34=""),"",IF(Y11&gt;D34,"",X94*Loans!C7/12))</f>
        <v/>
      </c>
      <c r="Z34" s="15" t="str">
        <f aca="false">IF(OR(C34&lt;&gt;"Closed",D34="",F34=""),"",IF(Z11&gt;D34,"",Y94*Loans!C7/12))</f>
        <v/>
      </c>
      <c r="AA34" s="15" t="str">
        <f aca="false">IF(OR(C34&lt;&gt;"Closed",D34="",F34=""),"",IF(AA11&gt;D34,"",Z94*Loans!C7/12))</f>
        <v/>
      </c>
      <c r="AB34" s="15" t="str">
        <f aca="false">IF(OR(C34&lt;&gt;"Closed",D34="",F34=""),"",IF(AB11&gt;D34,"",AA94*Loans!C7/12))</f>
        <v/>
      </c>
      <c r="AC34" s="15" t="str">
        <f aca="false">IF(OR(C34&lt;&gt;"Closed",D34="",F34=""),"",IF(AC11&gt;D34,"",AB94*Loans!C7/12))</f>
        <v/>
      </c>
      <c r="AD34" s="15" t="str">
        <f aca="false">IF(OR(C34&lt;&gt;"Closed",D34="",F34=""),"",IF(AD11&gt;D34,"",AC94*Loans!C7/12))</f>
        <v/>
      </c>
      <c r="AE34" s="15" t="str">
        <f aca="false">IF(OR(C34&lt;&gt;"Closed",D34="",F34=""),"",IF(AE11&gt;D34,"",AD94*Loans!C7/12))</f>
        <v/>
      </c>
      <c r="AF34" s="15" t="str">
        <f aca="false">IF(OR(C34&lt;&gt;"Closed",D34="",F34=""),"",IF(AF11&gt;D34,"",AE94*Loans!C7/12))</f>
        <v/>
      </c>
      <c r="AG34" s="15" t="str">
        <f aca="false">IF(OR(C34&lt;&gt;"Closed",D34="",F34=""),"",IF(AG11&gt;D34,"",AF94*Loans!C7/12))</f>
        <v/>
      </c>
      <c r="AH34" s="15" t="str">
        <f aca="false">IF(OR(C34&lt;&gt;"Closed",D34="",F34=""),"",IF(AH11&gt;D34,"",AG94*Loans!C7/12))</f>
        <v/>
      </c>
      <c r="AI34" s="15" t="str">
        <f aca="false">IF(OR(C34&lt;&gt;"Closed",D34="",F34=""),"",IF(AI11&gt;D34,"",AH94*Loans!C7/12))</f>
        <v/>
      </c>
      <c r="AJ34" s="15" t="str">
        <f aca="false">IF(OR(C34&lt;&gt;"Closed",D34="",F34=""),"",IF(AJ11&gt;D34,"",AI94*Loans!C7/12))</f>
        <v/>
      </c>
      <c r="AK34" s="15" t="str">
        <f aca="false">IF(OR(C34&lt;&gt;"Closed",D34="",F34=""),"",IF(AK11&gt;D34,"",AJ94*Loans!C7/12))</f>
        <v/>
      </c>
      <c r="AL34" s="15" t="str">
        <f aca="false">IF(OR(C34&lt;&gt;"Closed",D34="",F34=""),"",IF(AL11&gt;D34,"",AK94*Loans!C7/12))</f>
        <v/>
      </c>
      <c r="AM34" s="15" t="str">
        <f aca="false">IF(OR(C34&lt;&gt;"Closed",D34="",F34=""),"",IF(AM11&gt;D34,"",AL94*Loans!C7/12))</f>
        <v/>
      </c>
      <c r="AN34" s="15" t="str">
        <f aca="false">IF(OR(C34&lt;&gt;"Closed",D34="",F34=""),"",IF(AN11&gt;D34,"",AM94*Loans!C7/12))</f>
        <v/>
      </c>
      <c r="AO34" s="15" t="str">
        <f aca="false">IF(OR(C34&lt;&gt;"Closed",D34="",F34=""),"",IF(AO11&gt;D34,"",AN94*Loans!C7/12))</f>
        <v/>
      </c>
      <c r="AP34" s="15" t="str">
        <f aca="false">IF(OR(C34&lt;&gt;"Closed",D34="",F34=""),"",IF(AP11&gt;D34,"",AO94*Loans!C7/12))</f>
        <v/>
      </c>
      <c r="AQ34" s="15" t="str">
        <f aca="false">IF(OR(C34&lt;&gt;"Closed",D34="",F34=""),"",IF(AQ11&gt;D34,"",AP94*Loans!C7/12))</f>
        <v/>
      </c>
      <c r="AR34" s="15" t="str">
        <f aca="false">IF(OR(C34&lt;&gt;"Closed",D34="",F34=""),"",IF(AR11&gt;D34,"",AQ94*Loans!C7/12))</f>
        <v/>
      </c>
      <c r="AS34" s="15" t="str">
        <f aca="false">IF(OR(C34&lt;&gt;"Closed",D34="",F34=""),"",IF(AS11&gt;D34,"",AR94*Loans!C7/12))</f>
        <v/>
      </c>
      <c r="AT34" s="15" t="str">
        <f aca="false">IF(OR(C34&lt;&gt;"Closed",D34="",F34=""),"",IF(AT11&gt;D34,"",AS94*Loans!C7/12))</f>
        <v/>
      </c>
      <c r="AU34" s="15" t="str">
        <f aca="false">IF(OR(C34&lt;&gt;"Closed",D34="",F34=""),"",IF(AU11&gt;D34,"",AT94*Loans!C7/12))</f>
        <v/>
      </c>
      <c r="AV34" s="15" t="str">
        <f aca="false">IF(OR(C34&lt;&gt;"Closed",D34="",F34=""),"",IF(AV11&gt;D34,"",AU94*Loans!C7/12))</f>
        <v/>
      </c>
      <c r="AW34" s="15" t="str">
        <f aca="false">IF(OR(C34&lt;&gt;"Closed",D34="",F34=""),"",IF(AW11&gt;D34,"",AV94*Loans!C7/12))</f>
        <v/>
      </c>
      <c r="AX34" s="15" t="str">
        <f aca="false">IF(OR(C34&lt;&gt;"Closed",D34="",F34=""),"",IF(AX11&gt;D34,"",AW94*Loans!C7/12))</f>
        <v/>
      </c>
      <c r="AY34" s="15" t="str">
        <f aca="false">IF(OR(C34&lt;&gt;"Closed",D34="",F34=""),"",IF(AY11&gt;D34,"",AX94*Loans!C7/12))</f>
        <v/>
      </c>
      <c r="AZ34" s="15" t="str">
        <f aca="false">IF(OR(C34&lt;&gt;"Closed",D34="",F34=""),"",IF(AZ11&gt;D34,"",AY94*Loans!C7/12))</f>
        <v/>
      </c>
      <c r="BA34" s="15" t="str">
        <f aca="false">IF(OR(C34&lt;&gt;"Closed",D34="",F34=""),"",IF(BA11&gt;D34,"",AZ94*Loans!C7/12))</f>
        <v/>
      </c>
      <c r="BB34" s="15" t="str">
        <f aca="false">IF(OR(C34&lt;&gt;"Closed",D34="",F34=""),"",IF(BB11&gt;D34,"",BA94*Loans!C7/12))</f>
        <v/>
      </c>
      <c r="BC34" s="15" t="str">
        <f aca="false">IF(OR(C34&lt;&gt;"Closed",D34="",F34=""),"",IF(BC11&gt;D34,"",BB94*Loans!C7/12))</f>
        <v/>
      </c>
      <c r="BD34" s="15" t="str">
        <f aca="false">IF(OR(C34&lt;&gt;"Closed",D34="",F34=""),"",IF(BD11&gt;D34,"",BC94*Loans!C7/12))</f>
        <v/>
      </c>
      <c r="BE34" s="15" t="str">
        <f aca="false">IF(OR(C34&lt;&gt;"Closed",D34="",F34=""),"",IF(BE11&gt;D34,"",BD94*Loans!C7/12))</f>
        <v/>
      </c>
      <c r="BF34" s="15" t="str">
        <f aca="false">IF(OR(C34&lt;&gt;"Closed",D34="",F34=""),"",IF(BF11&gt;D34,"",BE94*Loans!C7/12))</f>
        <v/>
      </c>
      <c r="BG34" s="15" t="str">
        <f aca="false">IF(OR(C34&lt;&gt;"Closed",D34="",F34=""),"",IF(BG11&gt;D34,"",BF94*Loans!C7/12))</f>
        <v/>
      </c>
      <c r="BH34" s="15" t="str">
        <f aca="false">IF(OR(C34&lt;&gt;"Closed",D34="",F34=""),"",IF(BH11&gt;D34,"",BG94*Loans!C7/12))</f>
        <v/>
      </c>
      <c r="BI34" s="15" t="str">
        <f aca="false">IF(OR(C34&lt;&gt;"Closed",D34="",F34=""),"",IF(BI11&gt;D34,"",BH94*Loans!C7/12))</f>
        <v/>
      </c>
      <c r="BJ34" s="15" t="str">
        <f aca="false">IF(OR(C34&lt;&gt;"Closed",D34="",F34=""),"",IF(BJ11&gt;D34,"",BI94*Loans!C7/12))</f>
        <v/>
      </c>
      <c r="BK34" s="15" t="str">
        <f aca="false">IF(OR(C34&lt;&gt;"Closed",D34="",F34=""),"",IF(BK11&gt;D34,"",BJ94*Loans!C7/12))</f>
        <v/>
      </c>
      <c r="BL34" s="15" t="str">
        <f aca="false">IF(OR(C34&lt;&gt;"Closed",D34="",F34=""),"",IF(BL11&gt;D34,"",BK94*Loans!C7/12))</f>
        <v/>
      </c>
      <c r="BM34" s="15" t="str">
        <f aca="false">IF(OR(C34&lt;&gt;"Closed",D34="",F34=""),"",IF(BM11&gt;D34,"",BL94*Loans!C7/12))</f>
        <v/>
      </c>
      <c r="BN34" s="15" t="str">
        <f aca="false">IF(OR(C34&lt;&gt;"Closed",D34="",F34=""),"",IF(BN11&gt;D34,"",BM94*Loans!C7/12))</f>
        <v/>
      </c>
      <c r="BO34" s="15" t="str">
        <f aca="false">IF(OR(C34&lt;&gt;"Closed",D34="",F34=""),"",IF(BO11&gt;D34,"",BN94*Loans!C7/12))</f>
        <v/>
      </c>
      <c r="BP34" s="15" t="str">
        <f aca="false">IF(OR(C34&lt;&gt;"Closed",D34="",F34=""),"",IF(BP11&gt;D34,"",BO94*Loans!C7/12))</f>
        <v/>
      </c>
    </row>
    <row r="35" customFormat="false" ht="15" hidden="false" customHeight="false" outlineLevel="0" collapsed="false">
      <c r="A35" s="29" t="str">
        <f aca="false">IF(Loans!A35="","",Loans!A35)</f>
        <v/>
      </c>
      <c r="B35" s="29" t="str">
        <f aca="false">IF(Loans!B35="","",Loans!B35)</f>
        <v/>
      </c>
      <c r="C35" s="29" t="str">
        <f aca="false">IF(Loans!C35="","",Loans!C35)</f>
        <v/>
      </c>
      <c r="D35" s="16" t="str">
        <f aca="false">IF(Loans!I35="","",Loans!I35)</f>
        <v/>
      </c>
      <c r="E35" s="17" t="str">
        <f aca="false">IF(Loans!E35="","",Loans!E35)</f>
        <v/>
      </c>
      <c r="F35" s="15" t="str">
        <f aca="false">IF(Loans!F35="","",Loans!F35)</f>
        <v/>
      </c>
      <c r="G35" s="15" t="str">
        <f aca="false">IF(OR(C35&lt;&gt;"Closed",D35="",F35=""),"",PMT(Loans!C7/12,D35,-F35))</f>
        <v/>
      </c>
      <c r="H35" s="15" t="str">
        <f aca="false">IF(C35&lt;&gt;"Closed","",SUM(I35:BP35))</f>
        <v/>
      </c>
      <c r="I35" s="15" t="str">
        <f aca="false">IF(OR(C35&lt;&gt;"Closed",D35="",F35=""),"",IF(I11&gt;D35,"",F35*Loans!C7/12))</f>
        <v/>
      </c>
      <c r="J35" s="15" t="str">
        <f aca="false">IF(OR(C35&lt;&gt;"Closed",D35="",F35=""),"",IF(J11&gt;D35,"",I95*Loans!C7/12))</f>
        <v/>
      </c>
      <c r="K35" s="15" t="str">
        <f aca="false">IF(OR(C35&lt;&gt;"Closed",D35="",F35=""),"",IF(K11&gt;D35,"",J95*Loans!C7/12))</f>
        <v/>
      </c>
      <c r="L35" s="15" t="str">
        <f aca="false">IF(OR(C35&lt;&gt;"Closed",D35="",F35=""),"",IF(L11&gt;D35,"",K95*Loans!C7/12))</f>
        <v/>
      </c>
      <c r="M35" s="15" t="str">
        <f aca="false">IF(OR(C35&lt;&gt;"Closed",D35="",F35=""),"",IF(M11&gt;D35,"",L95*Loans!C7/12))</f>
        <v/>
      </c>
      <c r="N35" s="15" t="str">
        <f aca="false">IF(OR(C35&lt;&gt;"Closed",D35="",F35=""),"",IF(N11&gt;D35,"",M95*Loans!C7/12))</f>
        <v/>
      </c>
      <c r="O35" s="15" t="str">
        <f aca="false">IF(OR(C35&lt;&gt;"Closed",D35="",F35=""),"",IF(O11&gt;D35,"",N95*Loans!C7/12))</f>
        <v/>
      </c>
      <c r="P35" s="15" t="str">
        <f aca="false">IF(OR(C35&lt;&gt;"Closed",D35="",F35=""),"",IF(P11&gt;D35,"",O95*Loans!C7/12))</f>
        <v/>
      </c>
      <c r="Q35" s="15" t="str">
        <f aca="false">IF(OR(C35&lt;&gt;"Closed",D35="",F35=""),"",IF(Q11&gt;D35,"",P95*Loans!C7/12))</f>
        <v/>
      </c>
      <c r="R35" s="15" t="str">
        <f aca="false">IF(OR(C35&lt;&gt;"Closed",D35="",F35=""),"",IF(R11&gt;D35,"",Q95*Loans!C7/12))</f>
        <v/>
      </c>
      <c r="S35" s="15" t="str">
        <f aca="false">IF(OR(C35&lt;&gt;"Closed",D35="",F35=""),"",IF(S11&gt;D35,"",R95*Loans!C7/12))</f>
        <v/>
      </c>
      <c r="T35" s="15" t="str">
        <f aca="false">IF(OR(C35&lt;&gt;"Closed",D35="",F35=""),"",IF(T11&gt;D35,"",S95*Loans!C7/12))</f>
        <v/>
      </c>
      <c r="U35" s="15" t="str">
        <f aca="false">IF(OR(C35&lt;&gt;"Closed",D35="",F35=""),"",IF(U11&gt;D35,"",T95*Loans!C7/12))</f>
        <v/>
      </c>
      <c r="V35" s="15" t="str">
        <f aca="false">IF(OR(C35&lt;&gt;"Closed",D35="",F35=""),"",IF(V11&gt;D35,"",U95*Loans!C7/12))</f>
        <v/>
      </c>
      <c r="W35" s="15" t="str">
        <f aca="false">IF(OR(C35&lt;&gt;"Closed",D35="",F35=""),"",IF(W11&gt;D35,"",V95*Loans!C7/12))</f>
        <v/>
      </c>
      <c r="X35" s="15" t="str">
        <f aca="false">IF(OR(C35&lt;&gt;"Closed",D35="",F35=""),"",IF(X11&gt;D35,"",W95*Loans!C7/12))</f>
        <v/>
      </c>
      <c r="Y35" s="15" t="str">
        <f aca="false">IF(OR(C35&lt;&gt;"Closed",D35="",F35=""),"",IF(Y11&gt;D35,"",X95*Loans!C7/12))</f>
        <v/>
      </c>
      <c r="Z35" s="15" t="str">
        <f aca="false">IF(OR(C35&lt;&gt;"Closed",D35="",F35=""),"",IF(Z11&gt;D35,"",Y95*Loans!C7/12))</f>
        <v/>
      </c>
      <c r="AA35" s="15" t="str">
        <f aca="false">IF(OR(C35&lt;&gt;"Closed",D35="",F35=""),"",IF(AA11&gt;D35,"",Z95*Loans!C7/12))</f>
        <v/>
      </c>
      <c r="AB35" s="15" t="str">
        <f aca="false">IF(OR(C35&lt;&gt;"Closed",D35="",F35=""),"",IF(AB11&gt;D35,"",AA95*Loans!C7/12))</f>
        <v/>
      </c>
      <c r="AC35" s="15" t="str">
        <f aca="false">IF(OR(C35&lt;&gt;"Closed",D35="",F35=""),"",IF(AC11&gt;D35,"",AB95*Loans!C7/12))</f>
        <v/>
      </c>
      <c r="AD35" s="15" t="str">
        <f aca="false">IF(OR(C35&lt;&gt;"Closed",D35="",F35=""),"",IF(AD11&gt;D35,"",AC95*Loans!C7/12))</f>
        <v/>
      </c>
      <c r="AE35" s="15" t="str">
        <f aca="false">IF(OR(C35&lt;&gt;"Closed",D35="",F35=""),"",IF(AE11&gt;D35,"",AD95*Loans!C7/12))</f>
        <v/>
      </c>
      <c r="AF35" s="15" t="str">
        <f aca="false">IF(OR(C35&lt;&gt;"Closed",D35="",F35=""),"",IF(AF11&gt;D35,"",AE95*Loans!C7/12))</f>
        <v/>
      </c>
      <c r="AG35" s="15" t="str">
        <f aca="false">IF(OR(C35&lt;&gt;"Closed",D35="",F35=""),"",IF(AG11&gt;D35,"",AF95*Loans!C7/12))</f>
        <v/>
      </c>
      <c r="AH35" s="15" t="str">
        <f aca="false">IF(OR(C35&lt;&gt;"Closed",D35="",F35=""),"",IF(AH11&gt;D35,"",AG95*Loans!C7/12))</f>
        <v/>
      </c>
      <c r="AI35" s="15" t="str">
        <f aca="false">IF(OR(C35&lt;&gt;"Closed",D35="",F35=""),"",IF(AI11&gt;D35,"",AH95*Loans!C7/12))</f>
        <v/>
      </c>
      <c r="AJ35" s="15" t="str">
        <f aca="false">IF(OR(C35&lt;&gt;"Closed",D35="",F35=""),"",IF(AJ11&gt;D35,"",AI95*Loans!C7/12))</f>
        <v/>
      </c>
      <c r="AK35" s="15" t="str">
        <f aca="false">IF(OR(C35&lt;&gt;"Closed",D35="",F35=""),"",IF(AK11&gt;D35,"",AJ95*Loans!C7/12))</f>
        <v/>
      </c>
      <c r="AL35" s="15" t="str">
        <f aca="false">IF(OR(C35&lt;&gt;"Closed",D35="",F35=""),"",IF(AL11&gt;D35,"",AK95*Loans!C7/12))</f>
        <v/>
      </c>
      <c r="AM35" s="15" t="str">
        <f aca="false">IF(OR(C35&lt;&gt;"Closed",D35="",F35=""),"",IF(AM11&gt;D35,"",AL95*Loans!C7/12))</f>
        <v/>
      </c>
      <c r="AN35" s="15" t="str">
        <f aca="false">IF(OR(C35&lt;&gt;"Closed",D35="",F35=""),"",IF(AN11&gt;D35,"",AM95*Loans!C7/12))</f>
        <v/>
      </c>
      <c r="AO35" s="15" t="str">
        <f aca="false">IF(OR(C35&lt;&gt;"Closed",D35="",F35=""),"",IF(AO11&gt;D35,"",AN95*Loans!C7/12))</f>
        <v/>
      </c>
      <c r="AP35" s="15" t="str">
        <f aca="false">IF(OR(C35&lt;&gt;"Closed",D35="",F35=""),"",IF(AP11&gt;D35,"",AO95*Loans!C7/12))</f>
        <v/>
      </c>
      <c r="AQ35" s="15" t="str">
        <f aca="false">IF(OR(C35&lt;&gt;"Closed",D35="",F35=""),"",IF(AQ11&gt;D35,"",AP95*Loans!C7/12))</f>
        <v/>
      </c>
      <c r="AR35" s="15" t="str">
        <f aca="false">IF(OR(C35&lt;&gt;"Closed",D35="",F35=""),"",IF(AR11&gt;D35,"",AQ95*Loans!C7/12))</f>
        <v/>
      </c>
      <c r="AS35" s="15" t="str">
        <f aca="false">IF(OR(C35&lt;&gt;"Closed",D35="",F35=""),"",IF(AS11&gt;D35,"",AR95*Loans!C7/12))</f>
        <v/>
      </c>
      <c r="AT35" s="15" t="str">
        <f aca="false">IF(OR(C35&lt;&gt;"Closed",D35="",F35=""),"",IF(AT11&gt;D35,"",AS95*Loans!C7/12))</f>
        <v/>
      </c>
      <c r="AU35" s="15" t="str">
        <f aca="false">IF(OR(C35&lt;&gt;"Closed",D35="",F35=""),"",IF(AU11&gt;D35,"",AT95*Loans!C7/12))</f>
        <v/>
      </c>
      <c r="AV35" s="15" t="str">
        <f aca="false">IF(OR(C35&lt;&gt;"Closed",D35="",F35=""),"",IF(AV11&gt;D35,"",AU95*Loans!C7/12))</f>
        <v/>
      </c>
      <c r="AW35" s="15" t="str">
        <f aca="false">IF(OR(C35&lt;&gt;"Closed",D35="",F35=""),"",IF(AW11&gt;D35,"",AV95*Loans!C7/12))</f>
        <v/>
      </c>
      <c r="AX35" s="15" t="str">
        <f aca="false">IF(OR(C35&lt;&gt;"Closed",D35="",F35=""),"",IF(AX11&gt;D35,"",AW95*Loans!C7/12))</f>
        <v/>
      </c>
      <c r="AY35" s="15" t="str">
        <f aca="false">IF(OR(C35&lt;&gt;"Closed",D35="",F35=""),"",IF(AY11&gt;D35,"",AX95*Loans!C7/12))</f>
        <v/>
      </c>
      <c r="AZ35" s="15" t="str">
        <f aca="false">IF(OR(C35&lt;&gt;"Closed",D35="",F35=""),"",IF(AZ11&gt;D35,"",AY95*Loans!C7/12))</f>
        <v/>
      </c>
      <c r="BA35" s="15" t="str">
        <f aca="false">IF(OR(C35&lt;&gt;"Closed",D35="",F35=""),"",IF(BA11&gt;D35,"",AZ95*Loans!C7/12))</f>
        <v/>
      </c>
      <c r="BB35" s="15" t="str">
        <f aca="false">IF(OR(C35&lt;&gt;"Closed",D35="",F35=""),"",IF(BB11&gt;D35,"",BA95*Loans!C7/12))</f>
        <v/>
      </c>
      <c r="BC35" s="15" t="str">
        <f aca="false">IF(OR(C35&lt;&gt;"Closed",D35="",F35=""),"",IF(BC11&gt;D35,"",BB95*Loans!C7/12))</f>
        <v/>
      </c>
      <c r="BD35" s="15" t="str">
        <f aca="false">IF(OR(C35&lt;&gt;"Closed",D35="",F35=""),"",IF(BD11&gt;D35,"",BC95*Loans!C7/12))</f>
        <v/>
      </c>
      <c r="BE35" s="15" t="str">
        <f aca="false">IF(OR(C35&lt;&gt;"Closed",D35="",F35=""),"",IF(BE11&gt;D35,"",BD95*Loans!C7/12))</f>
        <v/>
      </c>
      <c r="BF35" s="15" t="str">
        <f aca="false">IF(OR(C35&lt;&gt;"Closed",D35="",F35=""),"",IF(BF11&gt;D35,"",BE95*Loans!C7/12))</f>
        <v/>
      </c>
      <c r="BG35" s="15" t="str">
        <f aca="false">IF(OR(C35&lt;&gt;"Closed",D35="",F35=""),"",IF(BG11&gt;D35,"",BF95*Loans!C7/12))</f>
        <v/>
      </c>
      <c r="BH35" s="15" t="str">
        <f aca="false">IF(OR(C35&lt;&gt;"Closed",D35="",F35=""),"",IF(BH11&gt;D35,"",BG95*Loans!C7/12))</f>
        <v/>
      </c>
      <c r="BI35" s="15" t="str">
        <f aca="false">IF(OR(C35&lt;&gt;"Closed",D35="",F35=""),"",IF(BI11&gt;D35,"",BH95*Loans!C7/12))</f>
        <v/>
      </c>
      <c r="BJ35" s="15" t="str">
        <f aca="false">IF(OR(C35&lt;&gt;"Closed",D35="",F35=""),"",IF(BJ11&gt;D35,"",BI95*Loans!C7/12))</f>
        <v/>
      </c>
      <c r="BK35" s="15" t="str">
        <f aca="false">IF(OR(C35&lt;&gt;"Closed",D35="",F35=""),"",IF(BK11&gt;D35,"",BJ95*Loans!C7/12))</f>
        <v/>
      </c>
      <c r="BL35" s="15" t="str">
        <f aca="false">IF(OR(C35&lt;&gt;"Closed",D35="",F35=""),"",IF(BL11&gt;D35,"",BK95*Loans!C7/12))</f>
        <v/>
      </c>
      <c r="BM35" s="15" t="str">
        <f aca="false">IF(OR(C35&lt;&gt;"Closed",D35="",F35=""),"",IF(BM11&gt;D35,"",BL95*Loans!C7/12))</f>
        <v/>
      </c>
      <c r="BN35" s="15" t="str">
        <f aca="false">IF(OR(C35&lt;&gt;"Closed",D35="",F35=""),"",IF(BN11&gt;D35,"",BM95*Loans!C7/12))</f>
        <v/>
      </c>
      <c r="BO35" s="15" t="str">
        <f aca="false">IF(OR(C35&lt;&gt;"Closed",D35="",F35=""),"",IF(BO11&gt;D35,"",BN95*Loans!C7/12))</f>
        <v/>
      </c>
      <c r="BP35" s="15" t="str">
        <f aca="false">IF(OR(C35&lt;&gt;"Closed",D35="",F35=""),"",IF(BP11&gt;D35,"",BO95*Loans!C7/12))</f>
        <v/>
      </c>
    </row>
    <row r="36" customFormat="false" ht="15" hidden="false" customHeight="false" outlineLevel="0" collapsed="false">
      <c r="A36" s="29" t="str">
        <f aca="false">IF(Loans!A36="","",Loans!A36)</f>
        <v/>
      </c>
      <c r="B36" s="29" t="str">
        <f aca="false">IF(Loans!B36="","",Loans!B36)</f>
        <v/>
      </c>
      <c r="C36" s="29" t="str">
        <f aca="false">IF(Loans!C36="","",Loans!C36)</f>
        <v/>
      </c>
      <c r="D36" s="16" t="str">
        <f aca="false">IF(Loans!I36="","",Loans!I36)</f>
        <v/>
      </c>
      <c r="E36" s="17" t="str">
        <f aca="false">IF(Loans!E36="","",Loans!E36)</f>
        <v/>
      </c>
      <c r="F36" s="15" t="str">
        <f aca="false">IF(Loans!F36="","",Loans!F36)</f>
        <v/>
      </c>
      <c r="G36" s="15" t="str">
        <f aca="false">IF(OR(C36&lt;&gt;"Closed",D36="",F36=""),"",PMT(Loans!C7/12,D36,-F36))</f>
        <v/>
      </c>
      <c r="H36" s="15" t="str">
        <f aca="false">IF(C36&lt;&gt;"Closed","",SUM(I36:BP36))</f>
        <v/>
      </c>
      <c r="I36" s="15" t="str">
        <f aca="false">IF(OR(C36&lt;&gt;"Closed",D36="",F36=""),"",IF(I11&gt;D36,"",F36*Loans!C7/12))</f>
        <v/>
      </c>
      <c r="J36" s="15" t="str">
        <f aca="false">IF(OR(C36&lt;&gt;"Closed",D36="",F36=""),"",IF(J11&gt;D36,"",I96*Loans!C7/12))</f>
        <v/>
      </c>
      <c r="K36" s="15" t="str">
        <f aca="false">IF(OR(C36&lt;&gt;"Closed",D36="",F36=""),"",IF(K11&gt;D36,"",J96*Loans!C7/12))</f>
        <v/>
      </c>
      <c r="L36" s="15" t="str">
        <f aca="false">IF(OR(C36&lt;&gt;"Closed",D36="",F36=""),"",IF(L11&gt;D36,"",K96*Loans!C7/12))</f>
        <v/>
      </c>
      <c r="M36" s="15" t="str">
        <f aca="false">IF(OR(C36&lt;&gt;"Closed",D36="",F36=""),"",IF(M11&gt;D36,"",L96*Loans!C7/12))</f>
        <v/>
      </c>
      <c r="N36" s="15" t="str">
        <f aca="false">IF(OR(C36&lt;&gt;"Closed",D36="",F36=""),"",IF(N11&gt;D36,"",M96*Loans!C7/12))</f>
        <v/>
      </c>
      <c r="O36" s="15" t="str">
        <f aca="false">IF(OR(C36&lt;&gt;"Closed",D36="",F36=""),"",IF(O11&gt;D36,"",N96*Loans!C7/12))</f>
        <v/>
      </c>
      <c r="P36" s="15" t="str">
        <f aca="false">IF(OR(C36&lt;&gt;"Closed",D36="",F36=""),"",IF(P11&gt;D36,"",O96*Loans!C7/12))</f>
        <v/>
      </c>
      <c r="Q36" s="15" t="str">
        <f aca="false">IF(OR(C36&lt;&gt;"Closed",D36="",F36=""),"",IF(Q11&gt;D36,"",P96*Loans!C7/12))</f>
        <v/>
      </c>
      <c r="R36" s="15" t="str">
        <f aca="false">IF(OR(C36&lt;&gt;"Closed",D36="",F36=""),"",IF(R11&gt;D36,"",Q96*Loans!C7/12))</f>
        <v/>
      </c>
      <c r="S36" s="15" t="str">
        <f aca="false">IF(OR(C36&lt;&gt;"Closed",D36="",F36=""),"",IF(S11&gt;D36,"",R96*Loans!C7/12))</f>
        <v/>
      </c>
      <c r="T36" s="15" t="str">
        <f aca="false">IF(OR(C36&lt;&gt;"Closed",D36="",F36=""),"",IF(T11&gt;D36,"",S96*Loans!C7/12))</f>
        <v/>
      </c>
      <c r="U36" s="15" t="str">
        <f aca="false">IF(OR(C36&lt;&gt;"Closed",D36="",F36=""),"",IF(U11&gt;D36,"",T96*Loans!C7/12))</f>
        <v/>
      </c>
      <c r="V36" s="15" t="str">
        <f aca="false">IF(OR(C36&lt;&gt;"Closed",D36="",F36=""),"",IF(V11&gt;D36,"",U96*Loans!C7/12))</f>
        <v/>
      </c>
      <c r="W36" s="15" t="str">
        <f aca="false">IF(OR(C36&lt;&gt;"Closed",D36="",F36=""),"",IF(W11&gt;D36,"",V96*Loans!C7/12))</f>
        <v/>
      </c>
      <c r="X36" s="15" t="str">
        <f aca="false">IF(OR(C36&lt;&gt;"Closed",D36="",F36=""),"",IF(X11&gt;D36,"",W96*Loans!C7/12))</f>
        <v/>
      </c>
      <c r="Y36" s="15" t="str">
        <f aca="false">IF(OR(C36&lt;&gt;"Closed",D36="",F36=""),"",IF(Y11&gt;D36,"",X96*Loans!C7/12))</f>
        <v/>
      </c>
      <c r="Z36" s="15" t="str">
        <f aca="false">IF(OR(C36&lt;&gt;"Closed",D36="",F36=""),"",IF(Z11&gt;D36,"",Y96*Loans!C7/12))</f>
        <v/>
      </c>
      <c r="AA36" s="15" t="str">
        <f aca="false">IF(OR(C36&lt;&gt;"Closed",D36="",F36=""),"",IF(AA11&gt;D36,"",Z96*Loans!C7/12))</f>
        <v/>
      </c>
      <c r="AB36" s="15" t="str">
        <f aca="false">IF(OR(C36&lt;&gt;"Closed",D36="",F36=""),"",IF(AB11&gt;D36,"",AA96*Loans!C7/12))</f>
        <v/>
      </c>
      <c r="AC36" s="15" t="str">
        <f aca="false">IF(OR(C36&lt;&gt;"Closed",D36="",F36=""),"",IF(AC11&gt;D36,"",AB96*Loans!C7/12))</f>
        <v/>
      </c>
      <c r="AD36" s="15" t="str">
        <f aca="false">IF(OR(C36&lt;&gt;"Closed",D36="",F36=""),"",IF(AD11&gt;D36,"",AC96*Loans!C7/12))</f>
        <v/>
      </c>
      <c r="AE36" s="15" t="str">
        <f aca="false">IF(OR(C36&lt;&gt;"Closed",D36="",F36=""),"",IF(AE11&gt;D36,"",AD96*Loans!C7/12))</f>
        <v/>
      </c>
      <c r="AF36" s="15" t="str">
        <f aca="false">IF(OR(C36&lt;&gt;"Closed",D36="",F36=""),"",IF(AF11&gt;D36,"",AE96*Loans!C7/12))</f>
        <v/>
      </c>
      <c r="AG36" s="15" t="str">
        <f aca="false">IF(OR(C36&lt;&gt;"Closed",D36="",F36=""),"",IF(AG11&gt;D36,"",AF96*Loans!C7/12))</f>
        <v/>
      </c>
      <c r="AH36" s="15" t="str">
        <f aca="false">IF(OR(C36&lt;&gt;"Closed",D36="",F36=""),"",IF(AH11&gt;D36,"",AG96*Loans!C7/12))</f>
        <v/>
      </c>
      <c r="AI36" s="15" t="str">
        <f aca="false">IF(OR(C36&lt;&gt;"Closed",D36="",F36=""),"",IF(AI11&gt;D36,"",AH96*Loans!C7/12))</f>
        <v/>
      </c>
      <c r="AJ36" s="15" t="str">
        <f aca="false">IF(OR(C36&lt;&gt;"Closed",D36="",F36=""),"",IF(AJ11&gt;D36,"",AI96*Loans!C7/12))</f>
        <v/>
      </c>
      <c r="AK36" s="15" t="str">
        <f aca="false">IF(OR(C36&lt;&gt;"Closed",D36="",F36=""),"",IF(AK11&gt;D36,"",AJ96*Loans!C7/12))</f>
        <v/>
      </c>
      <c r="AL36" s="15" t="str">
        <f aca="false">IF(OR(C36&lt;&gt;"Closed",D36="",F36=""),"",IF(AL11&gt;D36,"",AK96*Loans!C7/12))</f>
        <v/>
      </c>
      <c r="AM36" s="15" t="str">
        <f aca="false">IF(OR(C36&lt;&gt;"Closed",D36="",F36=""),"",IF(AM11&gt;D36,"",AL96*Loans!C7/12))</f>
        <v/>
      </c>
      <c r="AN36" s="15" t="str">
        <f aca="false">IF(OR(C36&lt;&gt;"Closed",D36="",F36=""),"",IF(AN11&gt;D36,"",AM96*Loans!C7/12))</f>
        <v/>
      </c>
      <c r="AO36" s="15" t="str">
        <f aca="false">IF(OR(C36&lt;&gt;"Closed",D36="",F36=""),"",IF(AO11&gt;D36,"",AN96*Loans!C7/12))</f>
        <v/>
      </c>
      <c r="AP36" s="15" t="str">
        <f aca="false">IF(OR(C36&lt;&gt;"Closed",D36="",F36=""),"",IF(AP11&gt;D36,"",AO96*Loans!C7/12))</f>
        <v/>
      </c>
      <c r="AQ36" s="15" t="str">
        <f aca="false">IF(OR(C36&lt;&gt;"Closed",D36="",F36=""),"",IF(AQ11&gt;D36,"",AP96*Loans!C7/12))</f>
        <v/>
      </c>
      <c r="AR36" s="15" t="str">
        <f aca="false">IF(OR(C36&lt;&gt;"Closed",D36="",F36=""),"",IF(AR11&gt;D36,"",AQ96*Loans!C7/12))</f>
        <v/>
      </c>
      <c r="AS36" s="15" t="str">
        <f aca="false">IF(OR(C36&lt;&gt;"Closed",D36="",F36=""),"",IF(AS11&gt;D36,"",AR96*Loans!C7/12))</f>
        <v/>
      </c>
      <c r="AT36" s="15" t="str">
        <f aca="false">IF(OR(C36&lt;&gt;"Closed",D36="",F36=""),"",IF(AT11&gt;D36,"",AS96*Loans!C7/12))</f>
        <v/>
      </c>
      <c r="AU36" s="15" t="str">
        <f aca="false">IF(OR(C36&lt;&gt;"Closed",D36="",F36=""),"",IF(AU11&gt;D36,"",AT96*Loans!C7/12))</f>
        <v/>
      </c>
      <c r="AV36" s="15" t="str">
        <f aca="false">IF(OR(C36&lt;&gt;"Closed",D36="",F36=""),"",IF(AV11&gt;D36,"",AU96*Loans!C7/12))</f>
        <v/>
      </c>
      <c r="AW36" s="15" t="str">
        <f aca="false">IF(OR(C36&lt;&gt;"Closed",D36="",F36=""),"",IF(AW11&gt;D36,"",AV96*Loans!C7/12))</f>
        <v/>
      </c>
      <c r="AX36" s="15" t="str">
        <f aca="false">IF(OR(C36&lt;&gt;"Closed",D36="",F36=""),"",IF(AX11&gt;D36,"",AW96*Loans!C7/12))</f>
        <v/>
      </c>
      <c r="AY36" s="15" t="str">
        <f aca="false">IF(OR(C36&lt;&gt;"Closed",D36="",F36=""),"",IF(AY11&gt;D36,"",AX96*Loans!C7/12))</f>
        <v/>
      </c>
      <c r="AZ36" s="15" t="str">
        <f aca="false">IF(OR(C36&lt;&gt;"Closed",D36="",F36=""),"",IF(AZ11&gt;D36,"",AY96*Loans!C7/12))</f>
        <v/>
      </c>
      <c r="BA36" s="15" t="str">
        <f aca="false">IF(OR(C36&lt;&gt;"Closed",D36="",F36=""),"",IF(BA11&gt;D36,"",AZ96*Loans!C7/12))</f>
        <v/>
      </c>
      <c r="BB36" s="15" t="str">
        <f aca="false">IF(OR(C36&lt;&gt;"Closed",D36="",F36=""),"",IF(BB11&gt;D36,"",BA96*Loans!C7/12))</f>
        <v/>
      </c>
      <c r="BC36" s="15" t="str">
        <f aca="false">IF(OR(C36&lt;&gt;"Closed",D36="",F36=""),"",IF(BC11&gt;D36,"",BB96*Loans!C7/12))</f>
        <v/>
      </c>
      <c r="BD36" s="15" t="str">
        <f aca="false">IF(OR(C36&lt;&gt;"Closed",D36="",F36=""),"",IF(BD11&gt;D36,"",BC96*Loans!C7/12))</f>
        <v/>
      </c>
      <c r="BE36" s="15" t="str">
        <f aca="false">IF(OR(C36&lt;&gt;"Closed",D36="",F36=""),"",IF(BE11&gt;D36,"",BD96*Loans!C7/12))</f>
        <v/>
      </c>
      <c r="BF36" s="15" t="str">
        <f aca="false">IF(OR(C36&lt;&gt;"Closed",D36="",F36=""),"",IF(BF11&gt;D36,"",BE96*Loans!C7/12))</f>
        <v/>
      </c>
      <c r="BG36" s="15" t="str">
        <f aca="false">IF(OR(C36&lt;&gt;"Closed",D36="",F36=""),"",IF(BG11&gt;D36,"",BF96*Loans!C7/12))</f>
        <v/>
      </c>
      <c r="BH36" s="15" t="str">
        <f aca="false">IF(OR(C36&lt;&gt;"Closed",D36="",F36=""),"",IF(BH11&gt;D36,"",BG96*Loans!C7/12))</f>
        <v/>
      </c>
      <c r="BI36" s="15" t="str">
        <f aca="false">IF(OR(C36&lt;&gt;"Closed",D36="",F36=""),"",IF(BI11&gt;D36,"",BH96*Loans!C7/12))</f>
        <v/>
      </c>
      <c r="BJ36" s="15" t="str">
        <f aca="false">IF(OR(C36&lt;&gt;"Closed",D36="",F36=""),"",IF(BJ11&gt;D36,"",BI96*Loans!C7/12))</f>
        <v/>
      </c>
      <c r="BK36" s="15" t="str">
        <f aca="false">IF(OR(C36&lt;&gt;"Closed",D36="",F36=""),"",IF(BK11&gt;D36,"",BJ96*Loans!C7/12))</f>
        <v/>
      </c>
      <c r="BL36" s="15" t="str">
        <f aca="false">IF(OR(C36&lt;&gt;"Closed",D36="",F36=""),"",IF(BL11&gt;D36,"",BK96*Loans!C7/12))</f>
        <v/>
      </c>
      <c r="BM36" s="15" t="str">
        <f aca="false">IF(OR(C36&lt;&gt;"Closed",D36="",F36=""),"",IF(BM11&gt;D36,"",BL96*Loans!C7/12))</f>
        <v/>
      </c>
      <c r="BN36" s="15" t="str">
        <f aca="false">IF(OR(C36&lt;&gt;"Closed",D36="",F36=""),"",IF(BN11&gt;D36,"",BM96*Loans!C7/12))</f>
        <v/>
      </c>
      <c r="BO36" s="15" t="str">
        <f aca="false">IF(OR(C36&lt;&gt;"Closed",D36="",F36=""),"",IF(BO11&gt;D36,"",BN96*Loans!C7/12))</f>
        <v/>
      </c>
      <c r="BP36" s="15" t="str">
        <f aca="false">IF(OR(C36&lt;&gt;"Closed",D36="",F36=""),"",IF(BP11&gt;D36,"",BO96*Loans!C7/12))</f>
        <v/>
      </c>
    </row>
    <row r="37" customFormat="false" ht="15" hidden="false" customHeight="false" outlineLevel="0" collapsed="false">
      <c r="A37" s="29" t="str">
        <f aca="false">IF(Loans!A37="","",Loans!A37)</f>
        <v/>
      </c>
      <c r="B37" s="29" t="str">
        <f aca="false">IF(Loans!B37="","",Loans!B37)</f>
        <v/>
      </c>
      <c r="C37" s="29" t="str">
        <f aca="false">IF(Loans!C37="","",Loans!C37)</f>
        <v/>
      </c>
      <c r="D37" s="16" t="str">
        <f aca="false">IF(Loans!I37="","",Loans!I37)</f>
        <v/>
      </c>
      <c r="E37" s="17" t="str">
        <f aca="false">IF(Loans!E37="","",Loans!E37)</f>
        <v/>
      </c>
      <c r="F37" s="15" t="str">
        <f aca="false">IF(Loans!F37="","",Loans!F37)</f>
        <v/>
      </c>
      <c r="G37" s="15" t="str">
        <f aca="false">IF(OR(C37&lt;&gt;"Closed",D37="",F37=""),"",PMT(Loans!C7/12,D37,-F37))</f>
        <v/>
      </c>
      <c r="H37" s="15" t="str">
        <f aca="false">IF(C37&lt;&gt;"Closed","",SUM(I37:BP37))</f>
        <v/>
      </c>
      <c r="I37" s="15" t="str">
        <f aca="false">IF(OR(C37&lt;&gt;"Closed",D37="",F37=""),"",IF(I11&gt;D37,"",F37*Loans!C7/12))</f>
        <v/>
      </c>
      <c r="J37" s="15" t="str">
        <f aca="false">IF(OR(C37&lt;&gt;"Closed",D37="",F37=""),"",IF(J11&gt;D37,"",I97*Loans!C7/12))</f>
        <v/>
      </c>
      <c r="K37" s="15" t="str">
        <f aca="false">IF(OR(C37&lt;&gt;"Closed",D37="",F37=""),"",IF(K11&gt;D37,"",J97*Loans!C7/12))</f>
        <v/>
      </c>
      <c r="L37" s="15" t="str">
        <f aca="false">IF(OR(C37&lt;&gt;"Closed",D37="",F37=""),"",IF(L11&gt;D37,"",K97*Loans!C7/12))</f>
        <v/>
      </c>
      <c r="M37" s="15" t="str">
        <f aca="false">IF(OR(C37&lt;&gt;"Closed",D37="",F37=""),"",IF(M11&gt;D37,"",L97*Loans!C7/12))</f>
        <v/>
      </c>
      <c r="N37" s="15" t="str">
        <f aca="false">IF(OR(C37&lt;&gt;"Closed",D37="",F37=""),"",IF(N11&gt;D37,"",M97*Loans!C7/12))</f>
        <v/>
      </c>
      <c r="O37" s="15" t="str">
        <f aca="false">IF(OR(C37&lt;&gt;"Closed",D37="",F37=""),"",IF(O11&gt;D37,"",N97*Loans!C7/12))</f>
        <v/>
      </c>
      <c r="P37" s="15" t="str">
        <f aca="false">IF(OR(C37&lt;&gt;"Closed",D37="",F37=""),"",IF(P11&gt;D37,"",O97*Loans!C7/12))</f>
        <v/>
      </c>
      <c r="Q37" s="15" t="str">
        <f aca="false">IF(OR(C37&lt;&gt;"Closed",D37="",F37=""),"",IF(Q11&gt;D37,"",P97*Loans!C7/12))</f>
        <v/>
      </c>
      <c r="R37" s="15" t="str">
        <f aca="false">IF(OR(C37&lt;&gt;"Closed",D37="",F37=""),"",IF(R11&gt;D37,"",Q97*Loans!C7/12))</f>
        <v/>
      </c>
      <c r="S37" s="15" t="str">
        <f aca="false">IF(OR(C37&lt;&gt;"Closed",D37="",F37=""),"",IF(S11&gt;D37,"",R97*Loans!C7/12))</f>
        <v/>
      </c>
      <c r="T37" s="15" t="str">
        <f aca="false">IF(OR(C37&lt;&gt;"Closed",D37="",F37=""),"",IF(T11&gt;D37,"",S97*Loans!C7/12))</f>
        <v/>
      </c>
      <c r="U37" s="15" t="str">
        <f aca="false">IF(OR(C37&lt;&gt;"Closed",D37="",F37=""),"",IF(U11&gt;D37,"",T97*Loans!C7/12))</f>
        <v/>
      </c>
      <c r="V37" s="15" t="str">
        <f aca="false">IF(OR(C37&lt;&gt;"Closed",D37="",F37=""),"",IF(V11&gt;D37,"",U97*Loans!C7/12))</f>
        <v/>
      </c>
      <c r="W37" s="15" t="str">
        <f aca="false">IF(OR(C37&lt;&gt;"Closed",D37="",F37=""),"",IF(W11&gt;D37,"",V97*Loans!C7/12))</f>
        <v/>
      </c>
      <c r="X37" s="15" t="str">
        <f aca="false">IF(OR(C37&lt;&gt;"Closed",D37="",F37=""),"",IF(X11&gt;D37,"",W97*Loans!C7/12))</f>
        <v/>
      </c>
      <c r="Y37" s="15" t="str">
        <f aca="false">IF(OR(C37&lt;&gt;"Closed",D37="",F37=""),"",IF(Y11&gt;D37,"",X97*Loans!C7/12))</f>
        <v/>
      </c>
      <c r="Z37" s="15" t="str">
        <f aca="false">IF(OR(C37&lt;&gt;"Closed",D37="",F37=""),"",IF(Z11&gt;D37,"",Y97*Loans!C7/12))</f>
        <v/>
      </c>
      <c r="AA37" s="15" t="str">
        <f aca="false">IF(OR(C37&lt;&gt;"Closed",D37="",F37=""),"",IF(AA11&gt;D37,"",Z97*Loans!C7/12))</f>
        <v/>
      </c>
      <c r="AB37" s="15" t="str">
        <f aca="false">IF(OR(C37&lt;&gt;"Closed",D37="",F37=""),"",IF(AB11&gt;D37,"",AA97*Loans!C7/12))</f>
        <v/>
      </c>
      <c r="AC37" s="15" t="str">
        <f aca="false">IF(OR(C37&lt;&gt;"Closed",D37="",F37=""),"",IF(AC11&gt;D37,"",AB97*Loans!C7/12))</f>
        <v/>
      </c>
      <c r="AD37" s="15" t="str">
        <f aca="false">IF(OR(C37&lt;&gt;"Closed",D37="",F37=""),"",IF(AD11&gt;D37,"",AC97*Loans!C7/12))</f>
        <v/>
      </c>
      <c r="AE37" s="15" t="str">
        <f aca="false">IF(OR(C37&lt;&gt;"Closed",D37="",F37=""),"",IF(AE11&gt;D37,"",AD97*Loans!C7/12))</f>
        <v/>
      </c>
      <c r="AF37" s="15" t="str">
        <f aca="false">IF(OR(C37&lt;&gt;"Closed",D37="",F37=""),"",IF(AF11&gt;D37,"",AE97*Loans!C7/12))</f>
        <v/>
      </c>
      <c r="AG37" s="15" t="str">
        <f aca="false">IF(OR(C37&lt;&gt;"Closed",D37="",F37=""),"",IF(AG11&gt;D37,"",AF97*Loans!C7/12))</f>
        <v/>
      </c>
      <c r="AH37" s="15" t="str">
        <f aca="false">IF(OR(C37&lt;&gt;"Closed",D37="",F37=""),"",IF(AH11&gt;D37,"",AG97*Loans!C7/12))</f>
        <v/>
      </c>
      <c r="AI37" s="15" t="str">
        <f aca="false">IF(OR(C37&lt;&gt;"Closed",D37="",F37=""),"",IF(AI11&gt;D37,"",AH97*Loans!C7/12))</f>
        <v/>
      </c>
      <c r="AJ37" s="15" t="str">
        <f aca="false">IF(OR(C37&lt;&gt;"Closed",D37="",F37=""),"",IF(AJ11&gt;D37,"",AI97*Loans!C7/12))</f>
        <v/>
      </c>
      <c r="AK37" s="15" t="str">
        <f aca="false">IF(OR(C37&lt;&gt;"Closed",D37="",F37=""),"",IF(AK11&gt;D37,"",AJ97*Loans!C7/12))</f>
        <v/>
      </c>
      <c r="AL37" s="15" t="str">
        <f aca="false">IF(OR(C37&lt;&gt;"Closed",D37="",F37=""),"",IF(AL11&gt;D37,"",AK97*Loans!C7/12))</f>
        <v/>
      </c>
      <c r="AM37" s="15" t="str">
        <f aca="false">IF(OR(C37&lt;&gt;"Closed",D37="",F37=""),"",IF(AM11&gt;D37,"",AL97*Loans!C7/12))</f>
        <v/>
      </c>
      <c r="AN37" s="15" t="str">
        <f aca="false">IF(OR(C37&lt;&gt;"Closed",D37="",F37=""),"",IF(AN11&gt;D37,"",AM97*Loans!C7/12))</f>
        <v/>
      </c>
      <c r="AO37" s="15" t="str">
        <f aca="false">IF(OR(C37&lt;&gt;"Closed",D37="",F37=""),"",IF(AO11&gt;D37,"",AN97*Loans!C7/12))</f>
        <v/>
      </c>
      <c r="AP37" s="15" t="str">
        <f aca="false">IF(OR(C37&lt;&gt;"Closed",D37="",F37=""),"",IF(AP11&gt;D37,"",AO97*Loans!C7/12))</f>
        <v/>
      </c>
      <c r="AQ37" s="15" t="str">
        <f aca="false">IF(OR(C37&lt;&gt;"Closed",D37="",F37=""),"",IF(AQ11&gt;D37,"",AP97*Loans!C7/12))</f>
        <v/>
      </c>
      <c r="AR37" s="15" t="str">
        <f aca="false">IF(OR(C37&lt;&gt;"Closed",D37="",F37=""),"",IF(AR11&gt;D37,"",AQ97*Loans!C7/12))</f>
        <v/>
      </c>
      <c r="AS37" s="15" t="str">
        <f aca="false">IF(OR(C37&lt;&gt;"Closed",D37="",F37=""),"",IF(AS11&gt;D37,"",AR97*Loans!C7/12))</f>
        <v/>
      </c>
      <c r="AT37" s="15" t="str">
        <f aca="false">IF(OR(C37&lt;&gt;"Closed",D37="",F37=""),"",IF(AT11&gt;D37,"",AS97*Loans!C7/12))</f>
        <v/>
      </c>
      <c r="AU37" s="15" t="str">
        <f aca="false">IF(OR(C37&lt;&gt;"Closed",D37="",F37=""),"",IF(AU11&gt;D37,"",AT97*Loans!C7/12))</f>
        <v/>
      </c>
      <c r="AV37" s="15" t="str">
        <f aca="false">IF(OR(C37&lt;&gt;"Closed",D37="",F37=""),"",IF(AV11&gt;D37,"",AU97*Loans!C7/12))</f>
        <v/>
      </c>
      <c r="AW37" s="15" t="str">
        <f aca="false">IF(OR(C37&lt;&gt;"Closed",D37="",F37=""),"",IF(AW11&gt;D37,"",AV97*Loans!C7/12))</f>
        <v/>
      </c>
      <c r="AX37" s="15" t="str">
        <f aca="false">IF(OR(C37&lt;&gt;"Closed",D37="",F37=""),"",IF(AX11&gt;D37,"",AW97*Loans!C7/12))</f>
        <v/>
      </c>
      <c r="AY37" s="15" t="str">
        <f aca="false">IF(OR(C37&lt;&gt;"Closed",D37="",F37=""),"",IF(AY11&gt;D37,"",AX97*Loans!C7/12))</f>
        <v/>
      </c>
      <c r="AZ37" s="15" t="str">
        <f aca="false">IF(OR(C37&lt;&gt;"Closed",D37="",F37=""),"",IF(AZ11&gt;D37,"",AY97*Loans!C7/12))</f>
        <v/>
      </c>
      <c r="BA37" s="15" t="str">
        <f aca="false">IF(OR(C37&lt;&gt;"Closed",D37="",F37=""),"",IF(BA11&gt;D37,"",AZ97*Loans!C7/12))</f>
        <v/>
      </c>
      <c r="BB37" s="15" t="str">
        <f aca="false">IF(OR(C37&lt;&gt;"Closed",D37="",F37=""),"",IF(BB11&gt;D37,"",BA97*Loans!C7/12))</f>
        <v/>
      </c>
      <c r="BC37" s="15" t="str">
        <f aca="false">IF(OR(C37&lt;&gt;"Closed",D37="",F37=""),"",IF(BC11&gt;D37,"",BB97*Loans!C7/12))</f>
        <v/>
      </c>
      <c r="BD37" s="15" t="str">
        <f aca="false">IF(OR(C37&lt;&gt;"Closed",D37="",F37=""),"",IF(BD11&gt;D37,"",BC97*Loans!C7/12))</f>
        <v/>
      </c>
      <c r="BE37" s="15" t="str">
        <f aca="false">IF(OR(C37&lt;&gt;"Closed",D37="",F37=""),"",IF(BE11&gt;D37,"",BD97*Loans!C7/12))</f>
        <v/>
      </c>
      <c r="BF37" s="15" t="str">
        <f aca="false">IF(OR(C37&lt;&gt;"Closed",D37="",F37=""),"",IF(BF11&gt;D37,"",BE97*Loans!C7/12))</f>
        <v/>
      </c>
      <c r="BG37" s="15" t="str">
        <f aca="false">IF(OR(C37&lt;&gt;"Closed",D37="",F37=""),"",IF(BG11&gt;D37,"",BF97*Loans!C7/12))</f>
        <v/>
      </c>
      <c r="BH37" s="15" t="str">
        <f aca="false">IF(OR(C37&lt;&gt;"Closed",D37="",F37=""),"",IF(BH11&gt;D37,"",BG97*Loans!C7/12))</f>
        <v/>
      </c>
      <c r="BI37" s="15" t="str">
        <f aca="false">IF(OR(C37&lt;&gt;"Closed",D37="",F37=""),"",IF(BI11&gt;D37,"",BH97*Loans!C7/12))</f>
        <v/>
      </c>
      <c r="BJ37" s="15" t="str">
        <f aca="false">IF(OR(C37&lt;&gt;"Closed",D37="",F37=""),"",IF(BJ11&gt;D37,"",BI97*Loans!C7/12))</f>
        <v/>
      </c>
      <c r="BK37" s="15" t="str">
        <f aca="false">IF(OR(C37&lt;&gt;"Closed",D37="",F37=""),"",IF(BK11&gt;D37,"",BJ97*Loans!C7/12))</f>
        <v/>
      </c>
      <c r="BL37" s="15" t="str">
        <f aca="false">IF(OR(C37&lt;&gt;"Closed",D37="",F37=""),"",IF(BL11&gt;D37,"",BK97*Loans!C7/12))</f>
        <v/>
      </c>
      <c r="BM37" s="15" t="str">
        <f aca="false">IF(OR(C37&lt;&gt;"Closed",D37="",F37=""),"",IF(BM11&gt;D37,"",BL97*Loans!C7/12))</f>
        <v/>
      </c>
      <c r="BN37" s="15" t="str">
        <f aca="false">IF(OR(C37&lt;&gt;"Closed",D37="",F37=""),"",IF(BN11&gt;D37,"",BM97*Loans!C7/12))</f>
        <v/>
      </c>
      <c r="BO37" s="15" t="str">
        <f aca="false">IF(OR(C37&lt;&gt;"Closed",D37="",F37=""),"",IF(BO11&gt;D37,"",BN97*Loans!C7/12))</f>
        <v/>
      </c>
      <c r="BP37" s="15" t="str">
        <f aca="false">IF(OR(C37&lt;&gt;"Closed",D37="",F37=""),"",IF(BP11&gt;D37,"",BO97*Loans!C7/12))</f>
        <v/>
      </c>
    </row>
    <row r="38" customFormat="false" ht="15" hidden="false" customHeight="false" outlineLevel="0" collapsed="false">
      <c r="A38" s="29" t="str">
        <f aca="false">IF(Loans!A38="","",Loans!A38)</f>
        <v/>
      </c>
      <c r="B38" s="29" t="str">
        <f aca="false">IF(Loans!B38="","",Loans!B38)</f>
        <v/>
      </c>
      <c r="C38" s="29" t="str">
        <f aca="false">IF(Loans!C38="","",Loans!C38)</f>
        <v/>
      </c>
      <c r="D38" s="16" t="str">
        <f aca="false">IF(Loans!I38="","",Loans!I38)</f>
        <v/>
      </c>
      <c r="E38" s="17" t="str">
        <f aca="false">IF(Loans!E38="","",Loans!E38)</f>
        <v/>
      </c>
      <c r="F38" s="15" t="str">
        <f aca="false">IF(Loans!F38="","",Loans!F38)</f>
        <v/>
      </c>
      <c r="G38" s="15" t="str">
        <f aca="false">IF(OR(C38&lt;&gt;"Closed",D38="",F38=""),"",PMT(Loans!C7/12,D38,-F38))</f>
        <v/>
      </c>
      <c r="H38" s="15" t="str">
        <f aca="false">IF(C38&lt;&gt;"Closed","",SUM(I38:BP38))</f>
        <v/>
      </c>
      <c r="I38" s="15" t="str">
        <f aca="false">IF(OR(C38&lt;&gt;"Closed",D38="",F38=""),"",IF(I11&gt;D38,"",F38*Loans!C7/12))</f>
        <v/>
      </c>
      <c r="J38" s="15" t="str">
        <f aca="false">IF(OR(C38&lt;&gt;"Closed",D38="",F38=""),"",IF(J11&gt;D38,"",I98*Loans!C7/12))</f>
        <v/>
      </c>
      <c r="K38" s="15" t="str">
        <f aca="false">IF(OR(C38&lt;&gt;"Closed",D38="",F38=""),"",IF(K11&gt;D38,"",J98*Loans!C7/12))</f>
        <v/>
      </c>
      <c r="L38" s="15" t="str">
        <f aca="false">IF(OR(C38&lt;&gt;"Closed",D38="",F38=""),"",IF(L11&gt;D38,"",K98*Loans!C7/12))</f>
        <v/>
      </c>
      <c r="M38" s="15" t="str">
        <f aca="false">IF(OR(C38&lt;&gt;"Closed",D38="",F38=""),"",IF(M11&gt;D38,"",L98*Loans!C7/12))</f>
        <v/>
      </c>
      <c r="N38" s="15" t="str">
        <f aca="false">IF(OR(C38&lt;&gt;"Closed",D38="",F38=""),"",IF(N11&gt;D38,"",M98*Loans!C7/12))</f>
        <v/>
      </c>
      <c r="O38" s="15" t="str">
        <f aca="false">IF(OR(C38&lt;&gt;"Closed",D38="",F38=""),"",IF(O11&gt;D38,"",N98*Loans!C7/12))</f>
        <v/>
      </c>
      <c r="P38" s="15" t="str">
        <f aca="false">IF(OR(C38&lt;&gt;"Closed",D38="",F38=""),"",IF(P11&gt;D38,"",O98*Loans!C7/12))</f>
        <v/>
      </c>
      <c r="Q38" s="15" t="str">
        <f aca="false">IF(OR(C38&lt;&gt;"Closed",D38="",F38=""),"",IF(Q11&gt;D38,"",P98*Loans!C7/12))</f>
        <v/>
      </c>
      <c r="R38" s="15" t="str">
        <f aca="false">IF(OR(C38&lt;&gt;"Closed",D38="",F38=""),"",IF(R11&gt;D38,"",Q98*Loans!C7/12))</f>
        <v/>
      </c>
      <c r="S38" s="15" t="str">
        <f aca="false">IF(OR(C38&lt;&gt;"Closed",D38="",F38=""),"",IF(S11&gt;D38,"",R98*Loans!C7/12))</f>
        <v/>
      </c>
      <c r="T38" s="15" t="str">
        <f aca="false">IF(OR(C38&lt;&gt;"Closed",D38="",F38=""),"",IF(T11&gt;D38,"",S98*Loans!C7/12))</f>
        <v/>
      </c>
      <c r="U38" s="15" t="str">
        <f aca="false">IF(OR(C38&lt;&gt;"Closed",D38="",F38=""),"",IF(U11&gt;D38,"",T98*Loans!C7/12))</f>
        <v/>
      </c>
      <c r="V38" s="15" t="str">
        <f aca="false">IF(OR(C38&lt;&gt;"Closed",D38="",F38=""),"",IF(V11&gt;D38,"",U98*Loans!C7/12))</f>
        <v/>
      </c>
      <c r="W38" s="15" t="str">
        <f aca="false">IF(OR(C38&lt;&gt;"Closed",D38="",F38=""),"",IF(W11&gt;D38,"",V98*Loans!C7/12))</f>
        <v/>
      </c>
      <c r="X38" s="15" t="str">
        <f aca="false">IF(OR(C38&lt;&gt;"Closed",D38="",F38=""),"",IF(X11&gt;D38,"",W98*Loans!C7/12))</f>
        <v/>
      </c>
      <c r="Y38" s="15" t="str">
        <f aca="false">IF(OR(C38&lt;&gt;"Closed",D38="",F38=""),"",IF(Y11&gt;D38,"",X98*Loans!C7/12))</f>
        <v/>
      </c>
      <c r="Z38" s="15" t="str">
        <f aca="false">IF(OR(C38&lt;&gt;"Closed",D38="",F38=""),"",IF(Z11&gt;D38,"",Y98*Loans!C7/12))</f>
        <v/>
      </c>
      <c r="AA38" s="15" t="str">
        <f aca="false">IF(OR(C38&lt;&gt;"Closed",D38="",F38=""),"",IF(AA11&gt;D38,"",Z98*Loans!C7/12))</f>
        <v/>
      </c>
      <c r="AB38" s="15" t="str">
        <f aca="false">IF(OR(C38&lt;&gt;"Closed",D38="",F38=""),"",IF(AB11&gt;D38,"",AA98*Loans!C7/12))</f>
        <v/>
      </c>
      <c r="AC38" s="15" t="str">
        <f aca="false">IF(OR(C38&lt;&gt;"Closed",D38="",F38=""),"",IF(AC11&gt;D38,"",AB98*Loans!C7/12))</f>
        <v/>
      </c>
      <c r="AD38" s="15" t="str">
        <f aca="false">IF(OR(C38&lt;&gt;"Closed",D38="",F38=""),"",IF(AD11&gt;D38,"",AC98*Loans!C7/12))</f>
        <v/>
      </c>
      <c r="AE38" s="15" t="str">
        <f aca="false">IF(OR(C38&lt;&gt;"Closed",D38="",F38=""),"",IF(AE11&gt;D38,"",AD98*Loans!C7/12))</f>
        <v/>
      </c>
      <c r="AF38" s="15" t="str">
        <f aca="false">IF(OR(C38&lt;&gt;"Closed",D38="",F38=""),"",IF(AF11&gt;D38,"",AE98*Loans!C7/12))</f>
        <v/>
      </c>
      <c r="AG38" s="15" t="str">
        <f aca="false">IF(OR(C38&lt;&gt;"Closed",D38="",F38=""),"",IF(AG11&gt;D38,"",AF98*Loans!C7/12))</f>
        <v/>
      </c>
      <c r="AH38" s="15" t="str">
        <f aca="false">IF(OR(C38&lt;&gt;"Closed",D38="",F38=""),"",IF(AH11&gt;D38,"",AG98*Loans!C7/12))</f>
        <v/>
      </c>
      <c r="AI38" s="15" t="str">
        <f aca="false">IF(OR(C38&lt;&gt;"Closed",D38="",F38=""),"",IF(AI11&gt;D38,"",AH98*Loans!C7/12))</f>
        <v/>
      </c>
      <c r="AJ38" s="15" t="str">
        <f aca="false">IF(OR(C38&lt;&gt;"Closed",D38="",F38=""),"",IF(AJ11&gt;D38,"",AI98*Loans!C7/12))</f>
        <v/>
      </c>
      <c r="AK38" s="15" t="str">
        <f aca="false">IF(OR(C38&lt;&gt;"Closed",D38="",F38=""),"",IF(AK11&gt;D38,"",AJ98*Loans!C7/12))</f>
        <v/>
      </c>
      <c r="AL38" s="15" t="str">
        <f aca="false">IF(OR(C38&lt;&gt;"Closed",D38="",F38=""),"",IF(AL11&gt;D38,"",AK98*Loans!C7/12))</f>
        <v/>
      </c>
      <c r="AM38" s="15" t="str">
        <f aca="false">IF(OR(C38&lt;&gt;"Closed",D38="",F38=""),"",IF(AM11&gt;D38,"",AL98*Loans!C7/12))</f>
        <v/>
      </c>
      <c r="AN38" s="15" t="str">
        <f aca="false">IF(OR(C38&lt;&gt;"Closed",D38="",F38=""),"",IF(AN11&gt;D38,"",AM98*Loans!C7/12))</f>
        <v/>
      </c>
      <c r="AO38" s="15" t="str">
        <f aca="false">IF(OR(C38&lt;&gt;"Closed",D38="",F38=""),"",IF(AO11&gt;D38,"",AN98*Loans!C7/12))</f>
        <v/>
      </c>
      <c r="AP38" s="15" t="str">
        <f aca="false">IF(OR(C38&lt;&gt;"Closed",D38="",F38=""),"",IF(AP11&gt;D38,"",AO98*Loans!C7/12))</f>
        <v/>
      </c>
      <c r="AQ38" s="15" t="str">
        <f aca="false">IF(OR(C38&lt;&gt;"Closed",D38="",F38=""),"",IF(AQ11&gt;D38,"",AP98*Loans!C7/12))</f>
        <v/>
      </c>
      <c r="AR38" s="15" t="str">
        <f aca="false">IF(OR(C38&lt;&gt;"Closed",D38="",F38=""),"",IF(AR11&gt;D38,"",AQ98*Loans!C7/12))</f>
        <v/>
      </c>
      <c r="AS38" s="15" t="str">
        <f aca="false">IF(OR(C38&lt;&gt;"Closed",D38="",F38=""),"",IF(AS11&gt;D38,"",AR98*Loans!C7/12))</f>
        <v/>
      </c>
      <c r="AT38" s="15" t="str">
        <f aca="false">IF(OR(C38&lt;&gt;"Closed",D38="",F38=""),"",IF(AT11&gt;D38,"",AS98*Loans!C7/12))</f>
        <v/>
      </c>
      <c r="AU38" s="15" t="str">
        <f aca="false">IF(OR(C38&lt;&gt;"Closed",D38="",F38=""),"",IF(AU11&gt;D38,"",AT98*Loans!C7/12))</f>
        <v/>
      </c>
      <c r="AV38" s="15" t="str">
        <f aca="false">IF(OR(C38&lt;&gt;"Closed",D38="",F38=""),"",IF(AV11&gt;D38,"",AU98*Loans!C7/12))</f>
        <v/>
      </c>
      <c r="AW38" s="15" t="str">
        <f aca="false">IF(OR(C38&lt;&gt;"Closed",D38="",F38=""),"",IF(AW11&gt;D38,"",AV98*Loans!C7/12))</f>
        <v/>
      </c>
      <c r="AX38" s="15" t="str">
        <f aca="false">IF(OR(C38&lt;&gt;"Closed",D38="",F38=""),"",IF(AX11&gt;D38,"",AW98*Loans!C7/12))</f>
        <v/>
      </c>
      <c r="AY38" s="15" t="str">
        <f aca="false">IF(OR(C38&lt;&gt;"Closed",D38="",F38=""),"",IF(AY11&gt;D38,"",AX98*Loans!C7/12))</f>
        <v/>
      </c>
      <c r="AZ38" s="15" t="str">
        <f aca="false">IF(OR(C38&lt;&gt;"Closed",D38="",F38=""),"",IF(AZ11&gt;D38,"",AY98*Loans!C7/12))</f>
        <v/>
      </c>
      <c r="BA38" s="15" t="str">
        <f aca="false">IF(OR(C38&lt;&gt;"Closed",D38="",F38=""),"",IF(BA11&gt;D38,"",AZ98*Loans!C7/12))</f>
        <v/>
      </c>
      <c r="BB38" s="15" t="str">
        <f aca="false">IF(OR(C38&lt;&gt;"Closed",D38="",F38=""),"",IF(BB11&gt;D38,"",BA98*Loans!C7/12))</f>
        <v/>
      </c>
      <c r="BC38" s="15" t="str">
        <f aca="false">IF(OR(C38&lt;&gt;"Closed",D38="",F38=""),"",IF(BC11&gt;D38,"",BB98*Loans!C7/12))</f>
        <v/>
      </c>
      <c r="BD38" s="15" t="str">
        <f aca="false">IF(OR(C38&lt;&gt;"Closed",D38="",F38=""),"",IF(BD11&gt;D38,"",BC98*Loans!C7/12))</f>
        <v/>
      </c>
      <c r="BE38" s="15" t="str">
        <f aca="false">IF(OR(C38&lt;&gt;"Closed",D38="",F38=""),"",IF(BE11&gt;D38,"",BD98*Loans!C7/12))</f>
        <v/>
      </c>
      <c r="BF38" s="15" t="str">
        <f aca="false">IF(OR(C38&lt;&gt;"Closed",D38="",F38=""),"",IF(BF11&gt;D38,"",BE98*Loans!C7/12))</f>
        <v/>
      </c>
      <c r="BG38" s="15" t="str">
        <f aca="false">IF(OR(C38&lt;&gt;"Closed",D38="",F38=""),"",IF(BG11&gt;D38,"",BF98*Loans!C7/12))</f>
        <v/>
      </c>
      <c r="BH38" s="15" t="str">
        <f aca="false">IF(OR(C38&lt;&gt;"Closed",D38="",F38=""),"",IF(BH11&gt;D38,"",BG98*Loans!C7/12))</f>
        <v/>
      </c>
      <c r="BI38" s="15" t="str">
        <f aca="false">IF(OR(C38&lt;&gt;"Closed",D38="",F38=""),"",IF(BI11&gt;D38,"",BH98*Loans!C7/12))</f>
        <v/>
      </c>
      <c r="BJ38" s="15" t="str">
        <f aca="false">IF(OR(C38&lt;&gt;"Closed",D38="",F38=""),"",IF(BJ11&gt;D38,"",BI98*Loans!C7/12))</f>
        <v/>
      </c>
      <c r="BK38" s="15" t="str">
        <f aca="false">IF(OR(C38&lt;&gt;"Closed",D38="",F38=""),"",IF(BK11&gt;D38,"",BJ98*Loans!C7/12))</f>
        <v/>
      </c>
      <c r="BL38" s="15" t="str">
        <f aca="false">IF(OR(C38&lt;&gt;"Closed",D38="",F38=""),"",IF(BL11&gt;D38,"",BK98*Loans!C7/12))</f>
        <v/>
      </c>
      <c r="BM38" s="15" t="str">
        <f aca="false">IF(OR(C38&lt;&gt;"Closed",D38="",F38=""),"",IF(BM11&gt;D38,"",BL98*Loans!C7/12))</f>
        <v/>
      </c>
      <c r="BN38" s="15" t="str">
        <f aca="false">IF(OR(C38&lt;&gt;"Closed",D38="",F38=""),"",IF(BN11&gt;D38,"",BM98*Loans!C7/12))</f>
        <v/>
      </c>
      <c r="BO38" s="15" t="str">
        <f aca="false">IF(OR(C38&lt;&gt;"Closed",D38="",F38=""),"",IF(BO11&gt;D38,"",BN98*Loans!C7/12))</f>
        <v/>
      </c>
      <c r="BP38" s="15" t="str">
        <f aca="false">IF(OR(C38&lt;&gt;"Closed",D38="",F38=""),"",IF(BP11&gt;D38,"",BO98*Loans!C7/12))</f>
        <v/>
      </c>
    </row>
    <row r="39" customFormat="false" ht="15" hidden="false" customHeight="false" outlineLevel="0" collapsed="false">
      <c r="A39" s="29" t="str">
        <f aca="false">IF(Loans!A39="","",Loans!A39)</f>
        <v/>
      </c>
      <c r="B39" s="29" t="str">
        <f aca="false">IF(Loans!B39="","",Loans!B39)</f>
        <v/>
      </c>
      <c r="C39" s="29" t="str">
        <f aca="false">IF(Loans!C39="","",Loans!C39)</f>
        <v/>
      </c>
      <c r="D39" s="16" t="str">
        <f aca="false">IF(Loans!I39="","",Loans!I39)</f>
        <v/>
      </c>
      <c r="E39" s="17" t="str">
        <f aca="false">IF(Loans!E39="","",Loans!E39)</f>
        <v/>
      </c>
      <c r="F39" s="15" t="str">
        <f aca="false">IF(Loans!F39="","",Loans!F39)</f>
        <v/>
      </c>
      <c r="G39" s="15" t="str">
        <f aca="false">IF(OR(C39&lt;&gt;"Closed",D39="",F39=""),"",PMT(Loans!C7/12,D39,-F39))</f>
        <v/>
      </c>
      <c r="H39" s="15" t="str">
        <f aca="false">IF(C39&lt;&gt;"Closed","",SUM(I39:BP39))</f>
        <v/>
      </c>
      <c r="I39" s="15" t="str">
        <f aca="false">IF(OR(C39&lt;&gt;"Closed",D39="",F39=""),"",IF(I11&gt;D39,"",F39*Loans!C7/12))</f>
        <v/>
      </c>
      <c r="J39" s="15" t="str">
        <f aca="false">IF(OR(C39&lt;&gt;"Closed",D39="",F39=""),"",IF(J11&gt;D39,"",I99*Loans!C7/12))</f>
        <v/>
      </c>
      <c r="K39" s="15" t="str">
        <f aca="false">IF(OR(C39&lt;&gt;"Closed",D39="",F39=""),"",IF(K11&gt;D39,"",J99*Loans!C7/12))</f>
        <v/>
      </c>
      <c r="L39" s="15" t="str">
        <f aca="false">IF(OR(C39&lt;&gt;"Closed",D39="",F39=""),"",IF(L11&gt;D39,"",K99*Loans!C7/12))</f>
        <v/>
      </c>
      <c r="M39" s="15" t="str">
        <f aca="false">IF(OR(C39&lt;&gt;"Closed",D39="",F39=""),"",IF(M11&gt;D39,"",L99*Loans!C7/12))</f>
        <v/>
      </c>
      <c r="N39" s="15" t="str">
        <f aca="false">IF(OR(C39&lt;&gt;"Closed",D39="",F39=""),"",IF(N11&gt;D39,"",M99*Loans!C7/12))</f>
        <v/>
      </c>
      <c r="O39" s="15" t="str">
        <f aca="false">IF(OR(C39&lt;&gt;"Closed",D39="",F39=""),"",IF(O11&gt;D39,"",N99*Loans!C7/12))</f>
        <v/>
      </c>
      <c r="P39" s="15" t="str">
        <f aca="false">IF(OR(C39&lt;&gt;"Closed",D39="",F39=""),"",IF(P11&gt;D39,"",O99*Loans!C7/12))</f>
        <v/>
      </c>
      <c r="Q39" s="15" t="str">
        <f aca="false">IF(OR(C39&lt;&gt;"Closed",D39="",F39=""),"",IF(Q11&gt;D39,"",P99*Loans!C7/12))</f>
        <v/>
      </c>
      <c r="R39" s="15" t="str">
        <f aca="false">IF(OR(C39&lt;&gt;"Closed",D39="",F39=""),"",IF(R11&gt;D39,"",Q99*Loans!C7/12))</f>
        <v/>
      </c>
      <c r="S39" s="15" t="str">
        <f aca="false">IF(OR(C39&lt;&gt;"Closed",D39="",F39=""),"",IF(S11&gt;D39,"",R99*Loans!C7/12))</f>
        <v/>
      </c>
      <c r="T39" s="15" t="str">
        <f aca="false">IF(OR(C39&lt;&gt;"Closed",D39="",F39=""),"",IF(T11&gt;D39,"",S99*Loans!C7/12))</f>
        <v/>
      </c>
      <c r="U39" s="15" t="str">
        <f aca="false">IF(OR(C39&lt;&gt;"Closed",D39="",F39=""),"",IF(U11&gt;D39,"",T99*Loans!C7/12))</f>
        <v/>
      </c>
      <c r="V39" s="15" t="str">
        <f aca="false">IF(OR(C39&lt;&gt;"Closed",D39="",F39=""),"",IF(V11&gt;D39,"",U99*Loans!C7/12))</f>
        <v/>
      </c>
      <c r="W39" s="15" t="str">
        <f aca="false">IF(OR(C39&lt;&gt;"Closed",D39="",F39=""),"",IF(W11&gt;D39,"",V99*Loans!C7/12))</f>
        <v/>
      </c>
      <c r="X39" s="15" t="str">
        <f aca="false">IF(OR(C39&lt;&gt;"Closed",D39="",F39=""),"",IF(X11&gt;D39,"",W99*Loans!C7/12))</f>
        <v/>
      </c>
      <c r="Y39" s="15" t="str">
        <f aca="false">IF(OR(C39&lt;&gt;"Closed",D39="",F39=""),"",IF(Y11&gt;D39,"",X99*Loans!C7/12))</f>
        <v/>
      </c>
      <c r="Z39" s="15" t="str">
        <f aca="false">IF(OR(C39&lt;&gt;"Closed",D39="",F39=""),"",IF(Z11&gt;D39,"",Y99*Loans!C7/12))</f>
        <v/>
      </c>
      <c r="AA39" s="15" t="str">
        <f aca="false">IF(OR(C39&lt;&gt;"Closed",D39="",F39=""),"",IF(AA11&gt;D39,"",Z99*Loans!C7/12))</f>
        <v/>
      </c>
      <c r="AB39" s="15" t="str">
        <f aca="false">IF(OR(C39&lt;&gt;"Closed",D39="",F39=""),"",IF(AB11&gt;D39,"",AA99*Loans!C7/12))</f>
        <v/>
      </c>
      <c r="AC39" s="15" t="str">
        <f aca="false">IF(OR(C39&lt;&gt;"Closed",D39="",F39=""),"",IF(AC11&gt;D39,"",AB99*Loans!C7/12))</f>
        <v/>
      </c>
      <c r="AD39" s="15" t="str">
        <f aca="false">IF(OR(C39&lt;&gt;"Closed",D39="",F39=""),"",IF(AD11&gt;D39,"",AC99*Loans!C7/12))</f>
        <v/>
      </c>
      <c r="AE39" s="15" t="str">
        <f aca="false">IF(OR(C39&lt;&gt;"Closed",D39="",F39=""),"",IF(AE11&gt;D39,"",AD99*Loans!C7/12))</f>
        <v/>
      </c>
      <c r="AF39" s="15" t="str">
        <f aca="false">IF(OR(C39&lt;&gt;"Closed",D39="",F39=""),"",IF(AF11&gt;D39,"",AE99*Loans!C7/12))</f>
        <v/>
      </c>
      <c r="AG39" s="15" t="str">
        <f aca="false">IF(OR(C39&lt;&gt;"Closed",D39="",F39=""),"",IF(AG11&gt;D39,"",AF99*Loans!C7/12))</f>
        <v/>
      </c>
      <c r="AH39" s="15" t="str">
        <f aca="false">IF(OR(C39&lt;&gt;"Closed",D39="",F39=""),"",IF(AH11&gt;D39,"",AG99*Loans!C7/12))</f>
        <v/>
      </c>
      <c r="AI39" s="15" t="str">
        <f aca="false">IF(OR(C39&lt;&gt;"Closed",D39="",F39=""),"",IF(AI11&gt;D39,"",AH99*Loans!C7/12))</f>
        <v/>
      </c>
      <c r="AJ39" s="15" t="str">
        <f aca="false">IF(OR(C39&lt;&gt;"Closed",D39="",F39=""),"",IF(AJ11&gt;D39,"",AI99*Loans!C7/12))</f>
        <v/>
      </c>
      <c r="AK39" s="15" t="str">
        <f aca="false">IF(OR(C39&lt;&gt;"Closed",D39="",F39=""),"",IF(AK11&gt;D39,"",AJ99*Loans!C7/12))</f>
        <v/>
      </c>
      <c r="AL39" s="15" t="str">
        <f aca="false">IF(OR(C39&lt;&gt;"Closed",D39="",F39=""),"",IF(AL11&gt;D39,"",AK99*Loans!C7/12))</f>
        <v/>
      </c>
      <c r="AM39" s="15" t="str">
        <f aca="false">IF(OR(C39&lt;&gt;"Closed",D39="",F39=""),"",IF(AM11&gt;D39,"",AL99*Loans!C7/12))</f>
        <v/>
      </c>
      <c r="AN39" s="15" t="str">
        <f aca="false">IF(OR(C39&lt;&gt;"Closed",D39="",F39=""),"",IF(AN11&gt;D39,"",AM99*Loans!C7/12))</f>
        <v/>
      </c>
      <c r="AO39" s="15" t="str">
        <f aca="false">IF(OR(C39&lt;&gt;"Closed",D39="",F39=""),"",IF(AO11&gt;D39,"",AN99*Loans!C7/12))</f>
        <v/>
      </c>
      <c r="AP39" s="15" t="str">
        <f aca="false">IF(OR(C39&lt;&gt;"Closed",D39="",F39=""),"",IF(AP11&gt;D39,"",AO99*Loans!C7/12))</f>
        <v/>
      </c>
      <c r="AQ39" s="15" t="str">
        <f aca="false">IF(OR(C39&lt;&gt;"Closed",D39="",F39=""),"",IF(AQ11&gt;D39,"",AP99*Loans!C7/12))</f>
        <v/>
      </c>
      <c r="AR39" s="15" t="str">
        <f aca="false">IF(OR(C39&lt;&gt;"Closed",D39="",F39=""),"",IF(AR11&gt;D39,"",AQ99*Loans!C7/12))</f>
        <v/>
      </c>
      <c r="AS39" s="15" t="str">
        <f aca="false">IF(OR(C39&lt;&gt;"Closed",D39="",F39=""),"",IF(AS11&gt;D39,"",AR99*Loans!C7/12))</f>
        <v/>
      </c>
      <c r="AT39" s="15" t="str">
        <f aca="false">IF(OR(C39&lt;&gt;"Closed",D39="",F39=""),"",IF(AT11&gt;D39,"",AS99*Loans!C7/12))</f>
        <v/>
      </c>
      <c r="AU39" s="15" t="str">
        <f aca="false">IF(OR(C39&lt;&gt;"Closed",D39="",F39=""),"",IF(AU11&gt;D39,"",AT99*Loans!C7/12))</f>
        <v/>
      </c>
      <c r="AV39" s="15" t="str">
        <f aca="false">IF(OR(C39&lt;&gt;"Closed",D39="",F39=""),"",IF(AV11&gt;D39,"",AU99*Loans!C7/12))</f>
        <v/>
      </c>
      <c r="AW39" s="15" t="str">
        <f aca="false">IF(OR(C39&lt;&gt;"Closed",D39="",F39=""),"",IF(AW11&gt;D39,"",AV99*Loans!C7/12))</f>
        <v/>
      </c>
      <c r="AX39" s="15" t="str">
        <f aca="false">IF(OR(C39&lt;&gt;"Closed",D39="",F39=""),"",IF(AX11&gt;D39,"",AW99*Loans!C7/12))</f>
        <v/>
      </c>
      <c r="AY39" s="15" t="str">
        <f aca="false">IF(OR(C39&lt;&gt;"Closed",D39="",F39=""),"",IF(AY11&gt;D39,"",AX99*Loans!C7/12))</f>
        <v/>
      </c>
      <c r="AZ39" s="15" t="str">
        <f aca="false">IF(OR(C39&lt;&gt;"Closed",D39="",F39=""),"",IF(AZ11&gt;D39,"",AY99*Loans!C7/12))</f>
        <v/>
      </c>
      <c r="BA39" s="15" t="str">
        <f aca="false">IF(OR(C39&lt;&gt;"Closed",D39="",F39=""),"",IF(BA11&gt;D39,"",AZ99*Loans!C7/12))</f>
        <v/>
      </c>
      <c r="BB39" s="15" t="str">
        <f aca="false">IF(OR(C39&lt;&gt;"Closed",D39="",F39=""),"",IF(BB11&gt;D39,"",BA99*Loans!C7/12))</f>
        <v/>
      </c>
      <c r="BC39" s="15" t="str">
        <f aca="false">IF(OR(C39&lt;&gt;"Closed",D39="",F39=""),"",IF(BC11&gt;D39,"",BB99*Loans!C7/12))</f>
        <v/>
      </c>
      <c r="BD39" s="15" t="str">
        <f aca="false">IF(OR(C39&lt;&gt;"Closed",D39="",F39=""),"",IF(BD11&gt;D39,"",BC99*Loans!C7/12))</f>
        <v/>
      </c>
      <c r="BE39" s="15" t="str">
        <f aca="false">IF(OR(C39&lt;&gt;"Closed",D39="",F39=""),"",IF(BE11&gt;D39,"",BD99*Loans!C7/12))</f>
        <v/>
      </c>
      <c r="BF39" s="15" t="str">
        <f aca="false">IF(OR(C39&lt;&gt;"Closed",D39="",F39=""),"",IF(BF11&gt;D39,"",BE99*Loans!C7/12))</f>
        <v/>
      </c>
      <c r="BG39" s="15" t="str">
        <f aca="false">IF(OR(C39&lt;&gt;"Closed",D39="",F39=""),"",IF(BG11&gt;D39,"",BF99*Loans!C7/12))</f>
        <v/>
      </c>
      <c r="BH39" s="15" t="str">
        <f aca="false">IF(OR(C39&lt;&gt;"Closed",D39="",F39=""),"",IF(BH11&gt;D39,"",BG99*Loans!C7/12))</f>
        <v/>
      </c>
      <c r="BI39" s="15" t="str">
        <f aca="false">IF(OR(C39&lt;&gt;"Closed",D39="",F39=""),"",IF(BI11&gt;D39,"",BH99*Loans!C7/12))</f>
        <v/>
      </c>
      <c r="BJ39" s="15" t="str">
        <f aca="false">IF(OR(C39&lt;&gt;"Closed",D39="",F39=""),"",IF(BJ11&gt;D39,"",BI99*Loans!C7/12))</f>
        <v/>
      </c>
      <c r="BK39" s="15" t="str">
        <f aca="false">IF(OR(C39&lt;&gt;"Closed",D39="",F39=""),"",IF(BK11&gt;D39,"",BJ99*Loans!C7/12))</f>
        <v/>
      </c>
      <c r="BL39" s="15" t="str">
        <f aca="false">IF(OR(C39&lt;&gt;"Closed",D39="",F39=""),"",IF(BL11&gt;D39,"",BK99*Loans!C7/12))</f>
        <v/>
      </c>
      <c r="BM39" s="15" t="str">
        <f aca="false">IF(OR(C39&lt;&gt;"Closed",D39="",F39=""),"",IF(BM11&gt;D39,"",BL99*Loans!C7/12))</f>
        <v/>
      </c>
      <c r="BN39" s="15" t="str">
        <f aca="false">IF(OR(C39&lt;&gt;"Closed",D39="",F39=""),"",IF(BN11&gt;D39,"",BM99*Loans!C7/12))</f>
        <v/>
      </c>
      <c r="BO39" s="15" t="str">
        <f aca="false">IF(OR(C39&lt;&gt;"Closed",D39="",F39=""),"",IF(BO11&gt;D39,"",BN99*Loans!C7/12))</f>
        <v/>
      </c>
      <c r="BP39" s="15" t="str">
        <f aca="false">IF(OR(C39&lt;&gt;"Closed",D39="",F39=""),"",IF(BP11&gt;D39,"",BO99*Loans!C7/12))</f>
        <v/>
      </c>
    </row>
    <row r="40" customFormat="false" ht="15" hidden="false" customHeight="false" outlineLevel="0" collapsed="false">
      <c r="A40" s="29" t="str">
        <f aca="false">IF(Loans!A40="","",Loans!A40)</f>
        <v/>
      </c>
      <c r="B40" s="29" t="str">
        <f aca="false">IF(Loans!B40="","",Loans!B40)</f>
        <v/>
      </c>
      <c r="C40" s="29" t="str">
        <f aca="false">IF(Loans!C40="","",Loans!C40)</f>
        <v/>
      </c>
      <c r="D40" s="16" t="str">
        <f aca="false">IF(Loans!I40="","",Loans!I40)</f>
        <v/>
      </c>
      <c r="E40" s="17" t="str">
        <f aca="false">IF(Loans!E40="","",Loans!E40)</f>
        <v/>
      </c>
      <c r="F40" s="15" t="str">
        <f aca="false">IF(Loans!F40="","",Loans!F40)</f>
        <v/>
      </c>
      <c r="G40" s="15" t="str">
        <f aca="false">IF(OR(C40&lt;&gt;"Closed",D40="",F40=""),"",PMT(Loans!C7/12,D40,-F40))</f>
        <v/>
      </c>
      <c r="H40" s="15" t="str">
        <f aca="false">IF(C40&lt;&gt;"Closed","",SUM(I40:BP40))</f>
        <v/>
      </c>
      <c r="I40" s="15" t="str">
        <f aca="false">IF(OR(C40&lt;&gt;"Closed",D40="",F40=""),"",IF(I11&gt;D40,"",F40*Loans!C7/12))</f>
        <v/>
      </c>
      <c r="J40" s="15" t="str">
        <f aca="false">IF(OR(C40&lt;&gt;"Closed",D40="",F40=""),"",IF(J11&gt;D40,"",I100*Loans!C7/12))</f>
        <v/>
      </c>
      <c r="K40" s="15" t="str">
        <f aca="false">IF(OR(C40&lt;&gt;"Closed",D40="",F40=""),"",IF(K11&gt;D40,"",J100*Loans!C7/12))</f>
        <v/>
      </c>
      <c r="L40" s="15" t="str">
        <f aca="false">IF(OR(C40&lt;&gt;"Closed",D40="",F40=""),"",IF(L11&gt;D40,"",K100*Loans!C7/12))</f>
        <v/>
      </c>
      <c r="M40" s="15" t="str">
        <f aca="false">IF(OR(C40&lt;&gt;"Closed",D40="",F40=""),"",IF(M11&gt;D40,"",L100*Loans!C7/12))</f>
        <v/>
      </c>
      <c r="N40" s="15" t="str">
        <f aca="false">IF(OR(C40&lt;&gt;"Closed",D40="",F40=""),"",IF(N11&gt;D40,"",M100*Loans!C7/12))</f>
        <v/>
      </c>
      <c r="O40" s="15" t="str">
        <f aca="false">IF(OR(C40&lt;&gt;"Closed",D40="",F40=""),"",IF(O11&gt;D40,"",N100*Loans!C7/12))</f>
        <v/>
      </c>
      <c r="P40" s="15" t="str">
        <f aca="false">IF(OR(C40&lt;&gt;"Closed",D40="",F40=""),"",IF(P11&gt;D40,"",O100*Loans!C7/12))</f>
        <v/>
      </c>
      <c r="Q40" s="15" t="str">
        <f aca="false">IF(OR(C40&lt;&gt;"Closed",D40="",F40=""),"",IF(Q11&gt;D40,"",P100*Loans!C7/12))</f>
        <v/>
      </c>
      <c r="R40" s="15" t="str">
        <f aca="false">IF(OR(C40&lt;&gt;"Closed",D40="",F40=""),"",IF(R11&gt;D40,"",Q100*Loans!C7/12))</f>
        <v/>
      </c>
      <c r="S40" s="15" t="str">
        <f aca="false">IF(OR(C40&lt;&gt;"Closed",D40="",F40=""),"",IF(S11&gt;D40,"",R100*Loans!C7/12))</f>
        <v/>
      </c>
      <c r="T40" s="15" t="str">
        <f aca="false">IF(OR(C40&lt;&gt;"Closed",D40="",F40=""),"",IF(T11&gt;D40,"",S100*Loans!C7/12))</f>
        <v/>
      </c>
      <c r="U40" s="15" t="str">
        <f aca="false">IF(OR(C40&lt;&gt;"Closed",D40="",F40=""),"",IF(U11&gt;D40,"",T100*Loans!C7/12))</f>
        <v/>
      </c>
      <c r="V40" s="15" t="str">
        <f aca="false">IF(OR(C40&lt;&gt;"Closed",D40="",F40=""),"",IF(V11&gt;D40,"",U100*Loans!C7/12))</f>
        <v/>
      </c>
      <c r="W40" s="15" t="str">
        <f aca="false">IF(OR(C40&lt;&gt;"Closed",D40="",F40=""),"",IF(W11&gt;D40,"",V100*Loans!C7/12))</f>
        <v/>
      </c>
      <c r="X40" s="15" t="str">
        <f aca="false">IF(OR(C40&lt;&gt;"Closed",D40="",F40=""),"",IF(X11&gt;D40,"",W100*Loans!C7/12))</f>
        <v/>
      </c>
      <c r="Y40" s="15" t="str">
        <f aca="false">IF(OR(C40&lt;&gt;"Closed",D40="",F40=""),"",IF(Y11&gt;D40,"",X100*Loans!C7/12))</f>
        <v/>
      </c>
      <c r="Z40" s="15" t="str">
        <f aca="false">IF(OR(C40&lt;&gt;"Closed",D40="",F40=""),"",IF(Z11&gt;D40,"",Y100*Loans!C7/12))</f>
        <v/>
      </c>
      <c r="AA40" s="15" t="str">
        <f aca="false">IF(OR(C40&lt;&gt;"Closed",D40="",F40=""),"",IF(AA11&gt;D40,"",Z100*Loans!C7/12))</f>
        <v/>
      </c>
      <c r="AB40" s="15" t="str">
        <f aca="false">IF(OR(C40&lt;&gt;"Closed",D40="",F40=""),"",IF(AB11&gt;D40,"",AA100*Loans!C7/12))</f>
        <v/>
      </c>
      <c r="AC40" s="15" t="str">
        <f aca="false">IF(OR(C40&lt;&gt;"Closed",D40="",F40=""),"",IF(AC11&gt;D40,"",AB100*Loans!C7/12))</f>
        <v/>
      </c>
      <c r="AD40" s="15" t="str">
        <f aca="false">IF(OR(C40&lt;&gt;"Closed",D40="",F40=""),"",IF(AD11&gt;D40,"",AC100*Loans!C7/12))</f>
        <v/>
      </c>
      <c r="AE40" s="15" t="str">
        <f aca="false">IF(OR(C40&lt;&gt;"Closed",D40="",F40=""),"",IF(AE11&gt;D40,"",AD100*Loans!C7/12))</f>
        <v/>
      </c>
      <c r="AF40" s="15" t="str">
        <f aca="false">IF(OR(C40&lt;&gt;"Closed",D40="",F40=""),"",IF(AF11&gt;D40,"",AE100*Loans!C7/12))</f>
        <v/>
      </c>
      <c r="AG40" s="15" t="str">
        <f aca="false">IF(OR(C40&lt;&gt;"Closed",D40="",F40=""),"",IF(AG11&gt;D40,"",AF100*Loans!C7/12))</f>
        <v/>
      </c>
      <c r="AH40" s="15" t="str">
        <f aca="false">IF(OR(C40&lt;&gt;"Closed",D40="",F40=""),"",IF(AH11&gt;D40,"",AG100*Loans!C7/12))</f>
        <v/>
      </c>
      <c r="AI40" s="15" t="str">
        <f aca="false">IF(OR(C40&lt;&gt;"Closed",D40="",F40=""),"",IF(AI11&gt;D40,"",AH100*Loans!C7/12))</f>
        <v/>
      </c>
      <c r="AJ40" s="15" t="str">
        <f aca="false">IF(OR(C40&lt;&gt;"Closed",D40="",F40=""),"",IF(AJ11&gt;D40,"",AI100*Loans!C7/12))</f>
        <v/>
      </c>
      <c r="AK40" s="15" t="str">
        <f aca="false">IF(OR(C40&lt;&gt;"Closed",D40="",F40=""),"",IF(AK11&gt;D40,"",AJ100*Loans!C7/12))</f>
        <v/>
      </c>
      <c r="AL40" s="15" t="str">
        <f aca="false">IF(OR(C40&lt;&gt;"Closed",D40="",F40=""),"",IF(AL11&gt;D40,"",AK100*Loans!C7/12))</f>
        <v/>
      </c>
      <c r="AM40" s="15" t="str">
        <f aca="false">IF(OR(C40&lt;&gt;"Closed",D40="",F40=""),"",IF(AM11&gt;D40,"",AL100*Loans!C7/12))</f>
        <v/>
      </c>
      <c r="AN40" s="15" t="str">
        <f aca="false">IF(OR(C40&lt;&gt;"Closed",D40="",F40=""),"",IF(AN11&gt;D40,"",AM100*Loans!C7/12))</f>
        <v/>
      </c>
      <c r="AO40" s="15" t="str">
        <f aca="false">IF(OR(C40&lt;&gt;"Closed",D40="",F40=""),"",IF(AO11&gt;D40,"",AN100*Loans!C7/12))</f>
        <v/>
      </c>
      <c r="AP40" s="15" t="str">
        <f aca="false">IF(OR(C40&lt;&gt;"Closed",D40="",F40=""),"",IF(AP11&gt;D40,"",AO100*Loans!C7/12))</f>
        <v/>
      </c>
      <c r="AQ40" s="15" t="str">
        <f aca="false">IF(OR(C40&lt;&gt;"Closed",D40="",F40=""),"",IF(AQ11&gt;D40,"",AP100*Loans!C7/12))</f>
        <v/>
      </c>
      <c r="AR40" s="15" t="str">
        <f aca="false">IF(OR(C40&lt;&gt;"Closed",D40="",F40=""),"",IF(AR11&gt;D40,"",AQ100*Loans!C7/12))</f>
        <v/>
      </c>
      <c r="AS40" s="15" t="str">
        <f aca="false">IF(OR(C40&lt;&gt;"Closed",D40="",F40=""),"",IF(AS11&gt;D40,"",AR100*Loans!C7/12))</f>
        <v/>
      </c>
      <c r="AT40" s="15" t="str">
        <f aca="false">IF(OR(C40&lt;&gt;"Closed",D40="",F40=""),"",IF(AT11&gt;D40,"",AS100*Loans!C7/12))</f>
        <v/>
      </c>
      <c r="AU40" s="15" t="str">
        <f aca="false">IF(OR(C40&lt;&gt;"Closed",D40="",F40=""),"",IF(AU11&gt;D40,"",AT100*Loans!C7/12))</f>
        <v/>
      </c>
      <c r="AV40" s="15" t="str">
        <f aca="false">IF(OR(C40&lt;&gt;"Closed",D40="",F40=""),"",IF(AV11&gt;D40,"",AU100*Loans!C7/12))</f>
        <v/>
      </c>
      <c r="AW40" s="15" t="str">
        <f aca="false">IF(OR(C40&lt;&gt;"Closed",D40="",F40=""),"",IF(AW11&gt;D40,"",AV100*Loans!C7/12))</f>
        <v/>
      </c>
      <c r="AX40" s="15" t="str">
        <f aca="false">IF(OR(C40&lt;&gt;"Closed",D40="",F40=""),"",IF(AX11&gt;D40,"",AW100*Loans!C7/12))</f>
        <v/>
      </c>
      <c r="AY40" s="15" t="str">
        <f aca="false">IF(OR(C40&lt;&gt;"Closed",D40="",F40=""),"",IF(AY11&gt;D40,"",AX100*Loans!C7/12))</f>
        <v/>
      </c>
      <c r="AZ40" s="15" t="str">
        <f aca="false">IF(OR(C40&lt;&gt;"Closed",D40="",F40=""),"",IF(AZ11&gt;D40,"",AY100*Loans!C7/12))</f>
        <v/>
      </c>
      <c r="BA40" s="15" t="str">
        <f aca="false">IF(OR(C40&lt;&gt;"Closed",D40="",F40=""),"",IF(BA11&gt;D40,"",AZ100*Loans!C7/12))</f>
        <v/>
      </c>
      <c r="BB40" s="15" t="str">
        <f aca="false">IF(OR(C40&lt;&gt;"Closed",D40="",F40=""),"",IF(BB11&gt;D40,"",BA100*Loans!C7/12))</f>
        <v/>
      </c>
      <c r="BC40" s="15" t="str">
        <f aca="false">IF(OR(C40&lt;&gt;"Closed",D40="",F40=""),"",IF(BC11&gt;D40,"",BB100*Loans!C7/12))</f>
        <v/>
      </c>
      <c r="BD40" s="15" t="str">
        <f aca="false">IF(OR(C40&lt;&gt;"Closed",D40="",F40=""),"",IF(BD11&gt;D40,"",BC100*Loans!C7/12))</f>
        <v/>
      </c>
      <c r="BE40" s="15" t="str">
        <f aca="false">IF(OR(C40&lt;&gt;"Closed",D40="",F40=""),"",IF(BE11&gt;D40,"",BD100*Loans!C7/12))</f>
        <v/>
      </c>
      <c r="BF40" s="15" t="str">
        <f aca="false">IF(OR(C40&lt;&gt;"Closed",D40="",F40=""),"",IF(BF11&gt;D40,"",BE100*Loans!C7/12))</f>
        <v/>
      </c>
      <c r="BG40" s="15" t="str">
        <f aca="false">IF(OR(C40&lt;&gt;"Closed",D40="",F40=""),"",IF(BG11&gt;D40,"",BF100*Loans!C7/12))</f>
        <v/>
      </c>
      <c r="BH40" s="15" t="str">
        <f aca="false">IF(OR(C40&lt;&gt;"Closed",D40="",F40=""),"",IF(BH11&gt;D40,"",BG100*Loans!C7/12))</f>
        <v/>
      </c>
      <c r="BI40" s="15" t="str">
        <f aca="false">IF(OR(C40&lt;&gt;"Closed",D40="",F40=""),"",IF(BI11&gt;D40,"",BH100*Loans!C7/12))</f>
        <v/>
      </c>
      <c r="BJ40" s="15" t="str">
        <f aca="false">IF(OR(C40&lt;&gt;"Closed",D40="",F40=""),"",IF(BJ11&gt;D40,"",BI100*Loans!C7/12))</f>
        <v/>
      </c>
      <c r="BK40" s="15" t="str">
        <f aca="false">IF(OR(C40&lt;&gt;"Closed",D40="",F40=""),"",IF(BK11&gt;D40,"",BJ100*Loans!C7/12))</f>
        <v/>
      </c>
      <c r="BL40" s="15" t="str">
        <f aca="false">IF(OR(C40&lt;&gt;"Closed",D40="",F40=""),"",IF(BL11&gt;D40,"",BK100*Loans!C7/12))</f>
        <v/>
      </c>
      <c r="BM40" s="15" t="str">
        <f aca="false">IF(OR(C40&lt;&gt;"Closed",D40="",F40=""),"",IF(BM11&gt;D40,"",BL100*Loans!C7/12))</f>
        <v/>
      </c>
      <c r="BN40" s="15" t="str">
        <f aca="false">IF(OR(C40&lt;&gt;"Closed",D40="",F40=""),"",IF(BN11&gt;D40,"",BM100*Loans!C7/12))</f>
        <v/>
      </c>
      <c r="BO40" s="15" t="str">
        <f aca="false">IF(OR(C40&lt;&gt;"Closed",D40="",F40=""),"",IF(BO11&gt;D40,"",BN100*Loans!C7/12))</f>
        <v/>
      </c>
      <c r="BP40" s="15" t="str">
        <f aca="false">IF(OR(C40&lt;&gt;"Closed",D40="",F40=""),"",IF(BP11&gt;D40,"",BO100*Loans!C7/12))</f>
        <v/>
      </c>
    </row>
    <row r="41" customFormat="false" ht="15" hidden="false" customHeight="false" outlineLevel="0" collapsed="false">
      <c r="A41" s="29" t="str">
        <f aca="false">IF(Loans!A41="","",Loans!A41)</f>
        <v/>
      </c>
      <c r="B41" s="29" t="str">
        <f aca="false">IF(Loans!B41="","",Loans!B41)</f>
        <v/>
      </c>
      <c r="C41" s="29" t="str">
        <f aca="false">IF(Loans!C41="","",Loans!C41)</f>
        <v/>
      </c>
      <c r="D41" s="16" t="str">
        <f aca="false">IF(Loans!I41="","",Loans!I41)</f>
        <v/>
      </c>
      <c r="E41" s="17" t="str">
        <f aca="false">IF(Loans!E41="","",Loans!E41)</f>
        <v/>
      </c>
      <c r="F41" s="15" t="str">
        <f aca="false">IF(Loans!F41="","",Loans!F41)</f>
        <v/>
      </c>
      <c r="G41" s="15" t="str">
        <f aca="false">IF(OR(C41&lt;&gt;"Closed",D41="",F41=""),"",PMT(Loans!C7/12,D41,-F41))</f>
        <v/>
      </c>
      <c r="H41" s="15" t="str">
        <f aca="false">IF(C41&lt;&gt;"Closed","",SUM(I41:BP41))</f>
        <v/>
      </c>
      <c r="I41" s="15" t="str">
        <f aca="false">IF(OR(C41&lt;&gt;"Closed",D41="",F41=""),"",IF(I11&gt;D41,"",F41*Loans!C7/12))</f>
        <v/>
      </c>
      <c r="J41" s="15" t="str">
        <f aca="false">IF(OR(C41&lt;&gt;"Closed",D41="",F41=""),"",IF(J11&gt;D41,"",I101*Loans!C7/12))</f>
        <v/>
      </c>
      <c r="K41" s="15" t="str">
        <f aca="false">IF(OR(C41&lt;&gt;"Closed",D41="",F41=""),"",IF(K11&gt;D41,"",J101*Loans!C7/12))</f>
        <v/>
      </c>
      <c r="L41" s="15" t="str">
        <f aca="false">IF(OR(C41&lt;&gt;"Closed",D41="",F41=""),"",IF(L11&gt;D41,"",K101*Loans!C7/12))</f>
        <v/>
      </c>
      <c r="M41" s="15" t="str">
        <f aca="false">IF(OR(C41&lt;&gt;"Closed",D41="",F41=""),"",IF(M11&gt;D41,"",L101*Loans!C7/12))</f>
        <v/>
      </c>
      <c r="N41" s="15" t="str">
        <f aca="false">IF(OR(C41&lt;&gt;"Closed",D41="",F41=""),"",IF(N11&gt;D41,"",M101*Loans!C7/12))</f>
        <v/>
      </c>
      <c r="O41" s="15" t="str">
        <f aca="false">IF(OR(C41&lt;&gt;"Closed",D41="",F41=""),"",IF(O11&gt;D41,"",N101*Loans!C7/12))</f>
        <v/>
      </c>
      <c r="P41" s="15" t="str">
        <f aca="false">IF(OR(C41&lt;&gt;"Closed",D41="",F41=""),"",IF(P11&gt;D41,"",O101*Loans!C7/12))</f>
        <v/>
      </c>
      <c r="Q41" s="15" t="str">
        <f aca="false">IF(OR(C41&lt;&gt;"Closed",D41="",F41=""),"",IF(Q11&gt;D41,"",P101*Loans!C7/12))</f>
        <v/>
      </c>
      <c r="R41" s="15" t="str">
        <f aca="false">IF(OR(C41&lt;&gt;"Closed",D41="",F41=""),"",IF(R11&gt;D41,"",Q101*Loans!C7/12))</f>
        <v/>
      </c>
      <c r="S41" s="15" t="str">
        <f aca="false">IF(OR(C41&lt;&gt;"Closed",D41="",F41=""),"",IF(S11&gt;D41,"",R101*Loans!C7/12))</f>
        <v/>
      </c>
      <c r="T41" s="15" t="str">
        <f aca="false">IF(OR(C41&lt;&gt;"Closed",D41="",F41=""),"",IF(T11&gt;D41,"",S101*Loans!C7/12))</f>
        <v/>
      </c>
      <c r="U41" s="15" t="str">
        <f aca="false">IF(OR(C41&lt;&gt;"Closed",D41="",F41=""),"",IF(U11&gt;D41,"",T101*Loans!C7/12))</f>
        <v/>
      </c>
      <c r="V41" s="15" t="str">
        <f aca="false">IF(OR(C41&lt;&gt;"Closed",D41="",F41=""),"",IF(V11&gt;D41,"",U101*Loans!C7/12))</f>
        <v/>
      </c>
      <c r="W41" s="15" t="str">
        <f aca="false">IF(OR(C41&lt;&gt;"Closed",D41="",F41=""),"",IF(W11&gt;D41,"",V101*Loans!C7/12))</f>
        <v/>
      </c>
      <c r="X41" s="15" t="str">
        <f aca="false">IF(OR(C41&lt;&gt;"Closed",D41="",F41=""),"",IF(X11&gt;D41,"",W101*Loans!C7/12))</f>
        <v/>
      </c>
      <c r="Y41" s="15" t="str">
        <f aca="false">IF(OR(C41&lt;&gt;"Closed",D41="",F41=""),"",IF(Y11&gt;D41,"",X101*Loans!C7/12))</f>
        <v/>
      </c>
      <c r="Z41" s="15" t="str">
        <f aca="false">IF(OR(C41&lt;&gt;"Closed",D41="",F41=""),"",IF(Z11&gt;D41,"",Y101*Loans!C7/12))</f>
        <v/>
      </c>
      <c r="AA41" s="15" t="str">
        <f aca="false">IF(OR(C41&lt;&gt;"Closed",D41="",F41=""),"",IF(AA11&gt;D41,"",Z101*Loans!C7/12))</f>
        <v/>
      </c>
      <c r="AB41" s="15" t="str">
        <f aca="false">IF(OR(C41&lt;&gt;"Closed",D41="",F41=""),"",IF(AB11&gt;D41,"",AA101*Loans!C7/12))</f>
        <v/>
      </c>
      <c r="AC41" s="15" t="str">
        <f aca="false">IF(OR(C41&lt;&gt;"Closed",D41="",F41=""),"",IF(AC11&gt;D41,"",AB101*Loans!C7/12))</f>
        <v/>
      </c>
      <c r="AD41" s="15" t="str">
        <f aca="false">IF(OR(C41&lt;&gt;"Closed",D41="",F41=""),"",IF(AD11&gt;D41,"",AC101*Loans!C7/12))</f>
        <v/>
      </c>
      <c r="AE41" s="15" t="str">
        <f aca="false">IF(OR(C41&lt;&gt;"Closed",D41="",F41=""),"",IF(AE11&gt;D41,"",AD101*Loans!C7/12))</f>
        <v/>
      </c>
      <c r="AF41" s="15" t="str">
        <f aca="false">IF(OR(C41&lt;&gt;"Closed",D41="",F41=""),"",IF(AF11&gt;D41,"",AE101*Loans!C7/12))</f>
        <v/>
      </c>
      <c r="AG41" s="15" t="str">
        <f aca="false">IF(OR(C41&lt;&gt;"Closed",D41="",F41=""),"",IF(AG11&gt;D41,"",AF101*Loans!C7/12))</f>
        <v/>
      </c>
      <c r="AH41" s="15" t="str">
        <f aca="false">IF(OR(C41&lt;&gt;"Closed",D41="",F41=""),"",IF(AH11&gt;D41,"",AG101*Loans!C7/12))</f>
        <v/>
      </c>
      <c r="AI41" s="15" t="str">
        <f aca="false">IF(OR(C41&lt;&gt;"Closed",D41="",F41=""),"",IF(AI11&gt;D41,"",AH101*Loans!C7/12))</f>
        <v/>
      </c>
      <c r="AJ41" s="15" t="str">
        <f aca="false">IF(OR(C41&lt;&gt;"Closed",D41="",F41=""),"",IF(AJ11&gt;D41,"",AI101*Loans!C7/12))</f>
        <v/>
      </c>
      <c r="AK41" s="15" t="str">
        <f aca="false">IF(OR(C41&lt;&gt;"Closed",D41="",F41=""),"",IF(AK11&gt;D41,"",AJ101*Loans!C7/12))</f>
        <v/>
      </c>
      <c r="AL41" s="15" t="str">
        <f aca="false">IF(OR(C41&lt;&gt;"Closed",D41="",F41=""),"",IF(AL11&gt;D41,"",AK101*Loans!C7/12))</f>
        <v/>
      </c>
      <c r="AM41" s="15" t="str">
        <f aca="false">IF(OR(C41&lt;&gt;"Closed",D41="",F41=""),"",IF(AM11&gt;D41,"",AL101*Loans!C7/12))</f>
        <v/>
      </c>
      <c r="AN41" s="15" t="str">
        <f aca="false">IF(OR(C41&lt;&gt;"Closed",D41="",F41=""),"",IF(AN11&gt;D41,"",AM101*Loans!C7/12))</f>
        <v/>
      </c>
      <c r="AO41" s="15" t="str">
        <f aca="false">IF(OR(C41&lt;&gt;"Closed",D41="",F41=""),"",IF(AO11&gt;D41,"",AN101*Loans!C7/12))</f>
        <v/>
      </c>
      <c r="AP41" s="15" t="str">
        <f aca="false">IF(OR(C41&lt;&gt;"Closed",D41="",F41=""),"",IF(AP11&gt;D41,"",AO101*Loans!C7/12))</f>
        <v/>
      </c>
      <c r="AQ41" s="15" t="str">
        <f aca="false">IF(OR(C41&lt;&gt;"Closed",D41="",F41=""),"",IF(AQ11&gt;D41,"",AP101*Loans!C7/12))</f>
        <v/>
      </c>
      <c r="AR41" s="15" t="str">
        <f aca="false">IF(OR(C41&lt;&gt;"Closed",D41="",F41=""),"",IF(AR11&gt;D41,"",AQ101*Loans!C7/12))</f>
        <v/>
      </c>
      <c r="AS41" s="15" t="str">
        <f aca="false">IF(OR(C41&lt;&gt;"Closed",D41="",F41=""),"",IF(AS11&gt;D41,"",AR101*Loans!C7/12))</f>
        <v/>
      </c>
      <c r="AT41" s="15" t="str">
        <f aca="false">IF(OR(C41&lt;&gt;"Closed",D41="",F41=""),"",IF(AT11&gt;D41,"",AS101*Loans!C7/12))</f>
        <v/>
      </c>
      <c r="AU41" s="15" t="str">
        <f aca="false">IF(OR(C41&lt;&gt;"Closed",D41="",F41=""),"",IF(AU11&gt;D41,"",AT101*Loans!C7/12))</f>
        <v/>
      </c>
      <c r="AV41" s="15" t="str">
        <f aca="false">IF(OR(C41&lt;&gt;"Closed",D41="",F41=""),"",IF(AV11&gt;D41,"",AU101*Loans!C7/12))</f>
        <v/>
      </c>
      <c r="AW41" s="15" t="str">
        <f aca="false">IF(OR(C41&lt;&gt;"Closed",D41="",F41=""),"",IF(AW11&gt;D41,"",AV101*Loans!C7/12))</f>
        <v/>
      </c>
      <c r="AX41" s="15" t="str">
        <f aca="false">IF(OR(C41&lt;&gt;"Closed",D41="",F41=""),"",IF(AX11&gt;D41,"",AW101*Loans!C7/12))</f>
        <v/>
      </c>
      <c r="AY41" s="15" t="str">
        <f aca="false">IF(OR(C41&lt;&gt;"Closed",D41="",F41=""),"",IF(AY11&gt;D41,"",AX101*Loans!C7/12))</f>
        <v/>
      </c>
      <c r="AZ41" s="15" t="str">
        <f aca="false">IF(OR(C41&lt;&gt;"Closed",D41="",F41=""),"",IF(AZ11&gt;D41,"",AY101*Loans!C7/12))</f>
        <v/>
      </c>
      <c r="BA41" s="15" t="str">
        <f aca="false">IF(OR(C41&lt;&gt;"Closed",D41="",F41=""),"",IF(BA11&gt;D41,"",AZ101*Loans!C7/12))</f>
        <v/>
      </c>
      <c r="BB41" s="15" t="str">
        <f aca="false">IF(OR(C41&lt;&gt;"Closed",D41="",F41=""),"",IF(BB11&gt;D41,"",BA101*Loans!C7/12))</f>
        <v/>
      </c>
      <c r="BC41" s="15" t="str">
        <f aca="false">IF(OR(C41&lt;&gt;"Closed",D41="",F41=""),"",IF(BC11&gt;D41,"",BB101*Loans!C7/12))</f>
        <v/>
      </c>
      <c r="BD41" s="15" t="str">
        <f aca="false">IF(OR(C41&lt;&gt;"Closed",D41="",F41=""),"",IF(BD11&gt;D41,"",BC101*Loans!C7/12))</f>
        <v/>
      </c>
      <c r="BE41" s="15" t="str">
        <f aca="false">IF(OR(C41&lt;&gt;"Closed",D41="",F41=""),"",IF(BE11&gt;D41,"",BD101*Loans!C7/12))</f>
        <v/>
      </c>
      <c r="BF41" s="15" t="str">
        <f aca="false">IF(OR(C41&lt;&gt;"Closed",D41="",F41=""),"",IF(BF11&gt;D41,"",BE101*Loans!C7/12))</f>
        <v/>
      </c>
      <c r="BG41" s="15" t="str">
        <f aca="false">IF(OR(C41&lt;&gt;"Closed",D41="",F41=""),"",IF(BG11&gt;D41,"",BF101*Loans!C7/12))</f>
        <v/>
      </c>
      <c r="BH41" s="15" t="str">
        <f aca="false">IF(OR(C41&lt;&gt;"Closed",D41="",F41=""),"",IF(BH11&gt;D41,"",BG101*Loans!C7/12))</f>
        <v/>
      </c>
      <c r="BI41" s="15" t="str">
        <f aca="false">IF(OR(C41&lt;&gt;"Closed",D41="",F41=""),"",IF(BI11&gt;D41,"",BH101*Loans!C7/12))</f>
        <v/>
      </c>
      <c r="BJ41" s="15" t="str">
        <f aca="false">IF(OR(C41&lt;&gt;"Closed",D41="",F41=""),"",IF(BJ11&gt;D41,"",BI101*Loans!C7/12))</f>
        <v/>
      </c>
      <c r="BK41" s="15" t="str">
        <f aca="false">IF(OR(C41&lt;&gt;"Closed",D41="",F41=""),"",IF(BK11&gt;D41,"",BJ101*Loans!C7/12))</f>
        <v/>
      </c>
      <c r="BL41" s="15" t="str">
        <f aca="false">IF(OR(C41&lt;&gt;"Closed",D41="",F41=""),"",IF(BL11&gt;D41,"",BK101*Loans!C7/12))</f>
        <v/>
      </c>
      <c r="BM41" s="15" t="str">
        <f aca="false">IF(OR(C41&lt;&gt;"Closed",D41="",F41=""),"",IF(BM11&gt;D41,"",BL101*Loans!C7/12))</f>
        <v/>
      </c>
      <c r="BN41" s="15" t="str">
        <f aca="false">IF(OR(C41&lt;&gt;"Closed",D41="",F41=""),"",IF(BN11&gt;D41,"",BM101*Loans!C7/12))</f>
        <v/>
      </c>
      <c r="BO41" s="15" t="str">
        <f aca="false">IF(OR(C41&lt;&gt;"Closed",D41="",F41=""),"",IF(BO11&gt;D41,"",BN101*Loans!C7/12))</f>
        <v/>
      </c>
      <c r="BP41" s="15" t="str">
        <f aca="false">IF(OR(C41&lt;&gt;"Closed",D41="",F41=""),"",IF(BP11&gt;D41,"",BO101*Loans!C7/12))</f>
        <v/>
      </c>
    </row>
    <row r="42" customFormat="false" ht="15" hidden="false" customHeight="false" outlineLevel="0" collapsed="false">
      <c r="A42" s="29" t="str">
        <f aca="false">IF(Loans!A42="","",Loans!A42)</f>
        <v/>
      </c>
      <c r="B42" s="29" t="str">
        <f aca="false">IF(Loans!B42="","",Loans!B42)</f>
        <v/>
      </c>
      <c r="C42" s="29" t="str">
        <f aca="false">IF(Loans!C42="","",Loans!C42)</f>
        <v/>
      </c>
      <c r="D42" s="16" t="str">
        <f aca="false">IF(Loans!I42="","",Loans!I42)</f>
        <v/>
      </c>
      <c r="E42" s="17" t="str">
        <f aca="false">IF(Loans!E42="","",Loans!E42)</f>
        <v/>
      </c>
      <c r="F42" s="15" t="str">
        <f aca="false">IF(Loans!F42="","",Loans!F42)</f>
        <v/>
      </c>
      <c r="G42" s="15" t="str">
        <f aca="false">IF(OR(C42&lt;&gt;"Closed",D42="",F42=""),"",PMT(Loans!C7/12,D42,-F42))</f>
        <v/>
      </c>
      <c r="H42" s="15" t="str">
        <f aca="false">IF(C42&lt;&gt;"Closed","",SUM(I42:BP42))</f>
        <v/>
      </c>
      <c r="I42" s="15" t="str">
        <f aca="false">IF(OR(C42&lt;&gt;"Closed",D42="",F42=""),"",IF(I11&gt;D42,"",F42*Loans!C7/12))</f>
        <v/>
      </c>
      <c r="J42" s="15" t="str">
        <f aca="false">IF(OR(C42&lt;&gt;"Closed",D42="",F42=""),"",IF(J11&gt;D42,"",I102*Loans!C7/12))</f>
        <v/>
      </c>
      <c r="K42" s="15" t="str">
        <f aca="false">IF(OR(C42&lt;&gt;"Closed",D42="",F42=""),"",IF(K11&gt;D42,"",J102*Loans!C7/12))</f>
        <v/>
      </c>
      <c r="L42" s="15" t="str">
        <f aca="false">IF(OR(C42&lt;&gt;"Closed",D42="",F42=""),"",IF(L11&gt;D42,"",K102*Loans!C7/12))</f>
        <v/>
      </c>
      <c r="M42" s="15" t="str">
        <f aca="false">IF(OR(C42&lt;&gt;"Closed",D42="",F42=""),"",IF(M11&gt;D42,"",L102*Loans!C7/12))</f>
        <v/>
      </c>
      <c r="N42" s="15" t="str">
        <f aca="false">IF(OR(C42&lt;&gt;"Closed",D42="",F42=""),"",IF(N11&gt;D42,"",M102*Loans!C7/12))</f>
        <v/>
      </c>
      <c r="O42" s="15" t="str">
        <f aca="false">IF(OR(C42&lt;&gt;"Closed",D42="",F42=""),"",IF(O11&gt;D42,"",N102*Loans!C7/12))</f>
        <v/>
      </c>
      <c r="P42" s="15" t="str">
        <f aca="false">IF(OR(C42&lt;&gt;"Closed",D42="",F42=""),"",IF(P11&gt;D42,"",O102*Loans!C7/12))</f>
        <v/>
      </c>
      <c r="Q42" s="15" t="str">
        <f aca="false">IF(OR(C42&lt;&gt;"Closed",D42="",F42=""),"",IF(Q11&gt;D42,"",P102*Loans!C7/12))</f>
        <v/>
      </c>
      <c r="R42" s="15" t="str">
        <f aca="false">IF(OR(C42&lt;&gt;"Closed",D42="",F42=""),"",IF(R11&gt;D42,"",Q102*Loans!C7/12))</f>
        <v/>
      </c>
      <c r="S42" s="15" t="str">
        <f aca="false">IF(OR(C42&lt;&gt;"Closed",D42="",F42=""),"",IF(S11&gt;D42,"",R102*Loans!C7/12))</f>
        <v/>
      </c>
      <c r="T42" s="15" t="str">
        <f aca="false">IF(OR(C42&lt;&gt;"Closed",D42="",F42=""),"",IF(T11&gt;D42,"",S102*Loans!C7/12))</f>
        <v/>
      </c>
      <c r="U42" s="15" t="str">
        <f aca="false">IF(OR(C42&lt;&gt;"Closed",D42="",F42=""),"",IF(U11&gt;D42,"",T102*Loans!C7/12))</f>
        <v/>
      </c>
      <c r="V42" s="15" t="str">
        <f aca="false">IF(OR(C42&lt;&gt;"Closed",D42="",F42=""),"",IF(V11&gt;D42,"",U102*Loans!C7/12))</f>
        <v/>
      </c>
      <c r="W42" s="15" t="str">
        <f aca="false">IF(OR(C42&lt;&gt;"Closed",D42="",F42=""),"",IF(W11&gt;D42,"",V102*Loans!C7/12))</f>
        <v/>
      </c>
      <c r="X42" s="15" t="str">
        <f aca="false">IF(OR(C42&lt;&gt;"Closed",D42="",F42=""),"",IF(X11&gt;D42,"",W102*Loans!C7/12))</f>
        <v/>
      </c>
      <c r="Y42" s="15" t="str">
        <f aca="false">IF(OR(C42&lt;&gt;"Closed",D42="",F42=""),"",IF(Y11&gt;D42,"",X102*Loans!C7/12))</f>
        <v/>
      </c>
      <c r="Z42" s="15" t="str">
        <f aca="false">IF(OR(C42&lt;&gt;"Closed",D42="",F42=""),"",IF(Z11&gt;D42,"",Y102*Loans!C7/12))</f>
        <v/>
      </c>
      <c r="AA42" s="15" t="str">
        <f aca="false">IF(OR(C42&lt;&gt;"Closed",D42="",F42=""),"",IF(AA11&gt;D42,"",Z102*Loans!C7/12))</f>
        <v/>
      </c>
      <c r="AB42" s="15" t="str">
        <f aca="false">IF(OR(C42&lt;&gt;"Closed",D42="",F42=""),"",IF(AB11&gt;D42,"",AA102*Loans!C7/12))</f>
        <v/>
      </c>
      <c r="AC42" s="15" t="str">
        <f aca="false">IF(OR(C42&lt;&gt;"Closed",D42="",F42=""),"",IF(AC11&gt;D42,"",AB102*Loans!C7/12))</f>
        <v/>
      </c>
      <c r="AD42" s="15" t="str">
        <f aca="false">IF(OR(C42&lt;&gt;"Closed",D42="",F42=""),"",IF(AD11&gt;D42,"",AC102*Loans!C7/12))</f>
        <v/>
      </c>
      <c r="AE42" s="15" t="str">
        <f aca="false">IF(OR(C42&lt;&gt;"Closed",D42="",F42=""),"",IF(AE11&gt;D42,"",AD102*Loans!C7/12))</f>
        <v/>
      </c>
      <c r="AF42" s="15" t="str">
        <f aca="false">IF(OR(C42&lt;&gt;"Closed",D42="",F42=""),"",IF(AF11&gt;D42,"",AE102*Loans!C7/12))</f>
        <v/>
      </c>
      <c r="AG42" s="15" t="str">
        <f aca="false">IF(OR(C42&lt;&gt;"Closed",D42="",F42=""),"",IF(AG11&gt;D42,"",AF102*Loans!C7/12))</f>
        <v/>
      </c>
      <c r="AH42" s="15" t="str">
        <f aca="false">IF(OR(C42&lt;&gt;"Closed",D42="",F42=""),"",IF(AH11&gt;D42,"",AG102*Loans!C7/12))</f>
        <v/>
      </c>
      <c r="AI42" s="15" t="str">
        <f aca="false">IF(OR(C42&lt;&gt;"Closed",D42="",F42=""),"",IF(AI11&gt;D42,"",AH102*Loans!C7/12))</f>
        <v/>
      </c>
      <c r="AJ42" s="15" t="str">
        <f aca="false">IF(OR(C42&lt;&gt;"Closed",D42="",F42=""),"",IF(AJ11&gt;D42,"",AI102*Loans!C7/12))</f>
        <v/>
      </c>
      <c r="AK42" s="15" t="str">
        <f aca="false">IF(OR(C42&lt;&gt;"Closed",D42="",F42=""),"",IF(AK11&gt;D42,"",AJ102*Loans!C7/12))</f>
        <v/>
      </c>
      <c r="AL42" s="15" t="str">
        <f aca="false">IF(OR(C42&lt;&gt;"Closed",D42="",F42=""),"",IF(AL11&gt;D42,"",AK102*Loans!C7/12))</f>
        <v/>
      </c>
      <c r="AM42" s="15" t="str">
        <f aca="false">IF(OR(C42&lt;&gt;"Closed",D42="",F42=""),"",IF(AM11&gt;D42,"",AL102*Loans!C7/12))</f>
        <v/>
      </c>
      <c r="AN42" s="15" t="str">
        <f aca="false">IF(OR(C42&lt;&gt;"Closed",D42="",F42=""),"",IF(AN11&gt;D42,"",AM102*Loans!C7/12))</f>
        <v/>
      </c>
      <c r="AO42" s="15" t="str">
        <f aca="false">IF(OR(C42&lt;&gt;"Closed",D42="",F42=""),"",IF(AO11&gt;D42,"",AN102*Loans!C7/12))</f>
        <v/>
      </c>
      <c r="AP42" s="15" t="str">
        <f aca="false">IF(OR(C42&lt;&gt;"Closed",D42="",F42=""),"",IF(AP11&gt;D42,"",AO102*Loans!C7/12))</f>
        <v/>
      </c>
      <c r="AQ42" s="15" t="str">
        <f aca="false">IF(OR(C42&lt;&gt;"Closed",D42="",F42=""),"",IF(AQ11&gt;D42,"",AP102*Loans!C7/12))</f>
        <v/>
      </c>
      <c r="AR42" s="15" t="str">
        <f aca="false">IF(OR(C42&lt;&gt;"Closed",D42="",F42=""),"",IF(AR11&gt;D42,"",AQ102*Loans!C7/12))</f>
        <v/>
      </c>
      <c r="AS42" s="15" t="str">
        <f aca="false">IF(OR(C42&lt;&gt;"Closed",D42="",F42=""),"",IF(AS11&gt;D42,"",AR102*Loans!C7/12))</f>
        <v/>
      </c>
      <c r="AT42" s="15" t="str">
        <f aca="false">IF(OR(C42&lt;&gt;"Closed",D42="",F42=""),"",IF(AT11&gt;D42,"",AS102*Loans!C7/12))</f>
        <v/>
      </c>
      <c r="AU42" s="15" t="str">
        <f aca="false">IF(OR(C42&lt;&gt;"Closed",D42="",F42=""),"",IF(AU11&gt;D42,"",AT102*Loans!C7/12))</f>
        <v/>
      </c>
      <c r="AV42" s="15" t="str">
        <f aca="false">IF(OR(C42&lt;&gt;"Closed",D42="",F42=""),"",IF(AV11&gt;D42,"",AU102*Loans!C7/12))</f>
        <v/>
      </c>
      <c r="AW42" s="15" t="str">
        <f aca="false">IF(OR(C42&lt;&gt;"Closed",D42="",F42=""),"",IF(AW11&gt;D42,"",AV102*Loans!C7/12))</f>
        <v/>
      </c>
      <c r="AX42" s="15" t="str">
        <f aca="false">IF(OR(C42&lt;&gt;"Closed",D42="",F42=""),"",IF(AX11&gt;D42,"",AW102*Loans!C7/12))</f>
        <v/>
      </c>
      <c r="AY42" s="15" t="str">
        <f aca="false">IF(OR(C42&lt;&gt;"Closed",D42="",F42=""),"",IF(AY11&gt;D42,"",AX102*Loans!C7/12))</f>
        <v/>
      </c>
      <c r="AZ42" s="15" t="str">
        <f aca="false">IF(OR(C42&lt;&gt;"Closed",D42="",F42=""),"",IF(AZ11&gt;D42,"",AY102*Loans!C7/12))</f>
        <v/>
      </c>
      <c r="BA42" s="15" t="str">
        <f aca="false">IF(OR(C42&lt;&gt;"Closed",D42="",F42=""),"",IF(BA11&gt;D42,"",AZ102*Loans!C7/12))</f>
        <v/>
      </c>
      <c r="BB42" s="15" t="str">
        <f aca="false">IF(OR(C42&lt;&gt;"Closed",D42="",F42=""),"",IF(BB11&gt;D42,"",BA102*Loans!C7/12))</f>
        <v/>
      </c>
      <c r="BC42" s="15" t="str">
        <f aca="false">IF(OR(C42&lt;&gt;"Closed",D42="",F42=""),"",IF(BC11&gt;D42,"",BB102*Loans!C7/12))</f>
        <v/>
      </c>
      <c r="BD42" s="15" t="str">
        <f aca="false">IF(OR(C42&lt;&gt;"Closed",D42="",F42=""),"",IF(BD11&gt;D42,"",BC102*Loans!C7/12))</f>
        <v/>
      </c>
      <c r="BE42" s="15" t="str">
        <f aca="false">IF(OR(C42&lt;&gt;"Closed",D42="",F42=""),"",IF(BE11&gt;D42,"",BD102*Loans!C7/12))</f>
        <v/>
      </c>
      <c r="BF42" s="15" t="str">
        <f aca="false">IF(OR(C42&lt;&gt;"Closed",D42="",F42=""),"",IF(BF11&gt;D42,"",BE102*Loans!C7/12))</f>
        <v/>
      </c>
      <c r="BG42" s="15" t="str">
        <f aca="false">IF(OR(C42&lt;&gt;"Closed",D42="",F42=""),"",IF(BG11&gt;D42,"",BF102*Loans!C7/12))</f>
        <v/>
      </c>
      <c r="BH42" s="15" t="str">
        <f aca="false">IF(OR(C42&lt;&gt;"Closed",D42="",F42=""),"",IF(BH11&gt;D42,"",BG102*Loans!C7/12))</f>
        <v/>
      </c>
      <c r="BI42" s="15" t="str">
        <f aca="false">IF(OR(C42&lt;&gt;"Closed",D42="",F42=""),"",IF(BI11&gt;D42,"",BH102*Loans!C7/12))</f>
        <v/>
      </c>
      <c r="BJ42" s="15" t="str">
        <f aca="false">IF(OR(C42&lt;&gt;"Closed",D42="",F42=""),"",IF(BJ11&gt;D42,"",BI102*Loans!C7/12))</f>
        <v/>
      </c>
      <c r="BK42" s="15" t="str">
        <f aca="false">IF(OR(C42&lt;&gt;"Closed",D42="",F42=""),"",IF(BK11&gt;D42,"",BJ102*Loans!C7/12))</f>
        <v/>
      </c>
      <c r="BL42" s="15" t="str">
        <f aca="false">IF(OR(C42&lt;&gt;"Closed",D42="",F42=""),"",IF(BL11&gt;D42,"",BK102*Loans!C7/12))</f>
        <v/>
      </c>
      <c r="BM42" s="15" t="str">
        <f aca="false">IF(OR(C42&lt;&gt;"Closed",D42="",F42=""),"",IF(BM11&gt;D42,"",BL102*Loans!C7/12))</f>
        <v/>
      </c>
      <c r="BN42" s="15" t="str">
        <f aca="false">IF(OR(C42&lt;&gt;"Closed",D42="",F42=""),"",IF(BN11&gt;D42,"",BM102*Loans!C7/12))</f>
        <v/>
      </c>
      <c r="BO42" s="15" t="str">
        <f aca="false">IF(OR(C42&lt;&gt;"Closed",D42="",F42=""),"",IF(BO11&gt;D42,"",BN102*Loans!C7/12))</f>
        <v/>
      </c>
      <c r="BP42" s="15" t="str">
        <f aca="false">IF(OR(C42&lt;&gt;"Closed",D42="",F42=""),"",IF(BP11&gt;D42,"",BO102*Loans!C7/12))</f>
        <v/>
      </c>
    </row>
    <row r="43" customFormat="false" ht="15" hidden="false" customHeight="false" outlineLevel="0" collapsed="false">
      <c r="A43" s="29" t="str">
        <f aca="false">IF(Loans!A43="","",Loans!A43)</f>
        <v/>
      </c>
      <c r="B43" s="29" t="str">
        <f aca="false">IF(Loans!B43="","",Loans!B43)</f>
        <v/>
      </c>
      <c r="C43" s="29" t="str">
        <f aca="false">IF(Loans!C43="","",Loans!C43)</f>
        <v/>
      </c>
      <c r="D43" s="16" t="str">
        <f aca="false">IF(Loans!I43="","",Loans!I43)</f>
        <v/>
      </c>
      <c r="E43" s="17" t="str">
        <f aca="false">IF(Loans!E43="","",Loans!E43)</f>
        <v/>
      </c>
      <c r="F43" s="15" t="str">
        <f aca="false">IF(Loans!F43="","",Loans!F43)</f>
        <v/>
      </c>
      <c r="G43" s="15" t="str">
        <f aca="false">IF(OR(C43&lt;&gt;"Closed",D43="",F43=""),"",PMT(Loans!C7/12,D43,-F43))</f>
        <v/>
      </c>
      <c r="H43" s="15" t="str">
        <f aca="false">IF(C43&lt;&gt;"Closed","",SUM(I43:BP43))</f>
        <v/>
      </c>
      <c r="I43" s="15" t="str">
        <f aca="false">IF(OR(C43&lt;&gt;"Closed",D43="",F43=""),"",IF(I11&gt;D43,"",F43*Loans!C7/12))</f>
        <v/>
      </c>
      <c r="J43" s="15" t="str">
        <f aca="false">IF(OR(C43&lt;&gt;"Closed",D43="",F43=""),"",IF(J11&gt;D43,"",I103*Loans!C7/12))</f>
        <v/>
      </c>
      <c r="K43" s="15" t="str">
        <f aca="false">IF(OR(C43&lt;&gt;"Closed",D43="",F43=""),"",IF(K11&gt;D43,"",J103*Loans!C7/12))</f>
        <v/>
      </c>
      <c r="L43" s="15" t="str">
        <f aca="false">IF(OR(C43&lt;&gt;"Closed",D43="",F43=""),"",IF(L11&gt;D43,"",K103*Loans!C7/12))</f>
        <v/>
      </c>
      <c r="M43" s="15" t="str">
        <f aca="false">IF(OR(C43&lt;&gt;"Closed",D43="",F43=""),"",IF(M11&gt;D43,"",L103*Loans!C7/12))</f>
        <v/>
      </c>
      <c r="N43" s="15" t="str">
        <f aca="false">IF(OR(C43&lt;&gt;"Closed",D43="",F43=""),"",IF(N11&gt;D43,"",M103*Loans!C7/12))</f>
        <v/>
      </c>
      <c r="O43" s="15" t="str">
        <f aca="false">IF(OR(C43&lt;&gt;"Closed",D43="",F43=""),"",IF(O11&gt;D43,"",N103*Loans!C7/12))</f>
        <v/>
      </c>
      <c r="P43" s="15" t="str">
        <f aca="false">IF(OR(C43&lt;&gt;"Closed",D43="",F43=""),"",IF(P11&gt;D43,"",O103*Loans!C7/12))</f>
        <v/>
      </c>
      <c r="Q43" s="15" t="str">
        <f aca="false">IF(OR(C43&lt;&gt;"Closed",D43="",F43=""),"",IF(Q11&gt;D43,"",P103*Loans!C7/12))</f>
        <v/>
      </c>
      <c r="R43" s="15" t="str">
        <f aca="false">IF(OR(C43&lt;&gt;"Closed",D43="",F43=""),"",IF(R11&gt;D43,"",Q103*Loans!C7/12))</f>
        <v/>
      </c>
      <c r="S43" s="15" t="str">
        <f aca="false">IF(OR(C43&lt;&gt;"Closed",D43="",F43=""),"",IF(S11&gt;D43,"",R103*Loans!C7/12))</f>
        <v/>
      </c>
      <c r="T43" s="15" t="str">
        <f aca="false">IF(OR(C43&lt;&gt;"Closed",D43="",F43=""),"",IF(T11&gt;D43,"",S103*Loans!C7/12))</f>
        <v/>
      </c>
      <c r="U43" s="15" t="str">
        <f aca="false">IF(OR(C43&lt;&gt;"Closed",D43="",F43=""),"",IF(U11&gt;D43,"",T103*Loans!C7/12))</f>
        <v/>
      </c>
      <c r="V43" s="15" t="str">
        <f aca="false">IF(OR(C43&lt;&gt;"Closed",D43="",F43=""),"",IF(V11&gt;D43,"",U103*Loans!C7/12))</f>
        <v/>
      </c>
      <c r="W43" s="15" t="str">
        <f aca="false">IF(OR(C43&lt;&gt;"Closed",D43="",F43=""),"",IF(W11&gt;D43,"",V103*Loans!C7/12))</f>
        <v/>
      </c>
      <c r="X43" s="15" t="str">
        <f aca="false">IF(OR(C43&lt;&gt;"Closed",D43="",F43=""),"",IF(X11&gt;D43,"",W103*Loans!C7/12))</f>
        <v/>
      </c>
      <c r="Y43" s="15" t="str">
        <f aca="false">IF(OR(C43&lt;&gt;"Closed",D43="",F43=""),"",IF(Y11&gt;D43,"",X103*Loans!C7/12))</f>
        <v/>
      </c>
      <c r="Z43" s="15" t="str">
        <f aca="false">IF(OR(C43&lt;&gt;"Closed",D43="",F43=""),"",IF(Z11&gt;D43,"",Y103*Loans!C7/12))</f>
        <v/>
      </c>
      <c r="AA43" s="15" t="str">
        <f aca="false">IF(OR(C43&lt;&gt;"Closed",D43="",F43=""),"",IF(AA11&gt;D43,"",Z103*Loans!C7/12))</f>
        <v/>
      </c>
      <c r="AB43" s="15" t="str">
        <f aca="false">IF(OR(C43&lt;&gt;"Closed",D43="",F43=""),"",IF(AB11&gt;D43,"",AA103*Loans!C7/12))</f>
        <v/>
      </c>
      <c r="AC43" s="15" t="str">
        <f aca="false">IF(OR(C43&lt;&gt;"Closed",D43="",F43=""),"",IF(AC11&gt;D43,"",AB103*Loans!C7/12))</f>
        <v/>
      </c>
      <c r="AD43" s="15" t="str">
        <f aca="false">IF(OR(C43&lt;&gt;"Closed",D43="",F43=""),"",IF(AD11&gt;D43,"",AC103*Loans!C7/12))</f>
        <v/>
      </c>
      <c r="AE43" s="15" t="str">
        <f aca="false">IF(OR(C43&lt;&gt;"Closed",D43="",F43=""),"",IF(AE11&gt;D43,"",AD103*Loans!C7/12))</f>
        <v/>
      </c>
      <c r="AF43" s="15" t="str">
        <f aca="false">IF(OR(C43&lt;&gt;"Closed",D43="",F43=""),"",IF(AF11&gt;D43,"",AE103*Loans!C7/12))</f>
        <v/>
      </c>
      <c r="AG43" s="15" t="str">
        <f aca="false">IF(OR(C43&lt;&gt;"Closed",D43="",F43=""),"",IF(AG11&gt;D43,"",AF103*Loans!C7/12))</f>
        <v/>
      </c>
      <c r="AH43" s="15" t="str">
        <f aca="false">IF(OR(C43&lt;&gt;"Closed",D43="",F43=""),"",IF(AH11&gt;D43,"",AG103*Loans!C7/12))</f>
        <v/>
      </c>
      <c r="AI43" s="15" t="str">
        <f aca="false">IF(OR(C43&lt;&gt;"Closed",D43="",F43=""),"",IF(AI11&gt;D43,"",AH103*Loans!C7/12))</f>
        <v/>
      </c>
      <c r="AJ43" s="15" t="str">
        <f aca="false">IF(OR(C43&lt;&gt;"Closed",D43="",F43=""),"",IF(AJ11&gt;D43,"",AI103*Loans!C7/12))</f>
        <v/>
      </c>
      <c r="AK43" s="15" t="str">
        <f aca="false">IF(OR(C43&lt;&gt;"Closed",D43="",F43=""),"",IF(AK11&gt;D43,"",AJ103*Loans!C7/12))</f>
        <v/>
      </c>
      <c r="AL43" s="15" t="str">
        <f aca="false">IF(OR(C43&lt;&gt;"Closed",D43="",F43=""),"",IF(AL11&gt;D43,"",AK103*Loans!C7/12))</f>
        <v/>
      </c>
      <c r="AM43" s="15" t="str">
        <f aca="false">IF(OR(C43&lt;&gt;"Closed",D43="",F43=""),"",IF(AM11&gt;D43,"",AL103*Loans!C7/12))</f>
        <v/>
      </c>
      <c r="AN43" s="15" t="str">
        <f aca="false">IF(OR(C43&lt;&gt;"Closed",D43="",F43=""),"",IF(AN11&gt;D43,"",AM103*Loans!C7/12))</f>
        <v/>
      </c>
      <c r="AO43" s="15" t="str">
        <f aca="false">IF(OR(C43&lt;&gt;"Closed",D43="",F43=""),"",IF(AO11&gt;D43,"",AN103*Loans!C7/12))</f>
        <v/>
      </c>
      <c r="AP43" s="15" t="str">
        <f aca="false">IF(OR(C43&lt;&gt;"Closed",D43="",F43=""),"",IF(AP11&gt;D43,"",AO103*Loans!C7/12))</f>
        <v/>
      </c>
      <c r="AQ43" s="15" t="str">
        <f aca="false">IF(OR(C43&lt;&gt;"Closed",D43="",F43=""),"",IF(AQ11&gt;D43,"",AP103*Loans!C7/12))</f>
        <v/>
      </c>
      <c r="AR43" s="15" t="str">
        <f aca="false">IF(OR(C43&lt;&gt;"Closed",D43="",F43=""),"",IF(AR11&gt;D43,"",AQ103*Loans!C7/12))</f>
        <v/>
      </c>
      <c r="AS43" s="15" t="str">
        <f aca="false">IF(OR(C43&lt;&gt;"Closed",D43="",F43=""),"",IF(AS11&gt;D43,"",AR103*Loans!C7/12))</f>
        <v/>
      </c>
      <c r="AT43" s="15" t="str">
        <f aca="false">IF(OR(C43&lt;&gt;"Closed",D43="",F43=""),"",IF(AT11&gt;D43,"",AS103*Loans!C7/12))</f>
        <v/>
      </c>
      <c r="AU43" s="15" t="str">
        <f aca="false">IF(OR(C43&lt;&gt;"Closed",D43="",F43=""),"",IF(AU11&gt;D43,"",AT103*Loans!C7/12))</f>
        <v/>
      </c>
      <c r="AV43" s="15" t="str">
        <f aca="false">IF(OR(C43&lt;&gt;"Closed",D43="",F43=""),"",IF(AV11&gt;D43,"",AU103*Loans!C7/12))</f>
        <v/>
      </c>
      <c r="AW43" s="15" t="str">
        <f aca="false">IF(OR(C43&lt;&gt;"Closed",D43="",F43=""),"",IF(AW11&gt;D43,"",AV103*Loans!C7/12))</f>
        <v/>
      </c>
      <c r="AX43" s="15" t="str">
        <f aca="false">IF(OR(C43&lt;&gt;"Closed",D43="",F43=""),"",IF(AX11&gt;D43,"",AW103*Loans!C7/12))</f>
        <v/>
      </c>
      <c r="AY43" s="15" t="str">
        <f aca="false">IF(OR(C43&lt;&gt;"Closed",D43="",F43=""),"",IF(AY11&gt;D43,"",AX103*Loans!C7/12))</f>
        <v/>
      </c>
      <c r="AZ43" s="15" t="str">
        <f aca="false">IF(OR(C43&lt;&gt;"Closed",D43="",F43=""),"",IF(AZ11&gt;D43,"",AY103*Loans!C7/12))</f>
        <v/>
      </c>
      <c r="BA43" s="15" t="str">
        <f aca="false">IF(OR(C43&lt;&gt;"Closed",D43="",F43=""),"",IF(BA11&gt;D43,"",AZ103*Loans!C7/12))</f>
        <v/>
      </c>
      <c r="BB43" s="15" t="str">
        <f aca="false">IF(OR(C43&lt;&gt;"Closed",D43="",F43=""),"",IF(BB11&gt;D43,"",BA103*Loans!C7/12))</f>
        <v/>
      </c>
      <c r="BC43" s="15" t="str">
        <f aca="false">IF(OR(C43&lt;&gt;"Closed",D43="",F43=""),"",IF(BC11&gt;D43,"",BB103*Loans!C7/12))</f>
        <v/>
      </c>
      <c r="BD43" s="15" t="str">
        <f aca="false">IF(OR(C43&lt;&gt;"Closed",D43="",F43=""),"",IF(BD11&gt;D43,"",BC103*Loans!C7/12))</f>
        <v/>
      </c>
      <c r="BE43" s="15" t="str">
        <f aca="false">IF(OR(C43&lt;&gt;"Closed",D43="",F43=""),"",IF(BE11&gt;D43,"",BD103*Loans!C7/12))</f>
        <v/>
      </c>
      <c r="BF43" s="15" t="str">
        <f aca="false">IF(OR(C43&lt;&gt;"Closed",D43="",F43=""),"",IF(BF11&gt;D43,"",BE103*Loans!C7/12))</f>
        <v/>
      </c>
      <c r="BG43" s="15" t="str">
        <f aca="false">IF(OR(C43&lt;&gt;"Closed",D43="",F43=""),"",IF(BG11&gt;D43,"",BF103*Loans!C7/12))</f>
        <v/>
      </c>
      <c r="BH43" s="15" t="str">
        <f aca="false">IF(OR(C43&lt;&gt;"Closed",D43="",F43=""),"",IF(BH11&gt;D43,"",BG103*Loans!C7/12))</f>
        <v/>
      </c>
      <c r="BI43" s="15" t="str">
        <f aca="false">IF(OR(C43&lt;&gt;"Closed",D43="",F43=""),"",IF(BI11&gt;D43,"",BH103*Loans!C7/12))</f>
        <v/>
      </c>
      <c r="BJ43" s="15" t="str">
        <f aca="false">IF(OR(C43&lt;&gt;"Closed",D43="",F43=""),"",IF(BJ11&gt;D43,"",BI103*Loans!C7/12))</f>
        <v/>
      </c>
      <c r="BK43" s="15" t="str">
        <f aca="false">IF(OR(C43&lt;&gt;"Closed",D43="",F43=""),"",IF(BK11&gt;D43,"",BJ103*Loans!C7/12))</f>
        <v/>
      </c>
      <c r="BL43" s="15" t="str">
        <f aca="false">IF(OR(C43&lt;&gt;"Closed",D43="",F43=""),"",IF(BL11&gt;D43,"",BK103*Loans!C7/12))</f>
        <v/>
      </c>
      <c r="BM43" s="15" t="str">
        <f aca="false">IF(OR(C43&lt;&gt;"Closed",D43="",F43=""),"",IF(BM11&gt;D43,"",BL103*Loans!C7/12))</f>
        <v/>
      </c>
      <c r="BN43" s="15" t="str">
        <f aca="false">IF(OR(C43&lt;&gt;"Closed",D43="",F43=""),"",IF(BN11&gt;D43,"",BM103*Loans!C7/12))</f>
        <v/>
      </c>
      <c r="BO43" s="15" t="str">
        <f aca="false">IF(OR(C43&lt;&gt;"Closed",D43="",F43=""),"",IF(BO11&gt;D43,"",BN103*Loans!C7/12))</f>
        <v/>
      </c>
      <c r="BP43" s="15" t="str">
        <f aca="false">IF(OR(C43&lt;&gt;"Closed",D43="",F43=""),"",IF(BP11&gt;D43,"",BO103*Loans!C7/12))</f>
        <v/>
      </c>
    </row>
    <row r="44" customFormat="false" ht="15" hidden="false" customHeight="false" outlineLevel="0" collapsed="false">
      <c r="A44" s="29" t="str">
        <f aca="false">IF(Loans!A44="","",Loans!A44)</f>
        <v/>
      </c>
      <c r="B44" s="29" t="str">
        <f aca="false">IF(Loans!B44="","",Loans!B44)</f>
        <v/>
      </c>
      <c r="C44" s="29" t="str">
        <f aca="false">IF(Loans!C44="","",Loans!C44)</f>
        <v/>
      </c>
      <c r="D44" s="16" t="str">
        <f aca="false">IF(Loans!I44="","",Loans!I44)</f>
        <v/>
      </c>
      <c r="E44" s="17" t="str">
        <f aca="false">IF(Loans!E44="","",Loans!E44)</f>
        <v/>
      </c>
      <c r="F44" s="15" t="str">
        <f aca="false">IF(Loans!F44="","",Loans!F44)</f>
        <v/>
      </c>
      <c r="G44" s="15" t="str">
        <f aca="false">IF(OR(C44&lt;&gt;"Closed",D44="",F44=""),"",PMT(Loans!C7/12,D44,-F44))</f>
        <v/>
      </c>
      <c r="H44" s="15" t="str">
        <f aca="false">IF(C44&lt;&gt;"Closed","",SUM(I44:BP44))</f>
        <v/>
      </c>
      <c r="I44" s="15" t="str">
        <f aca="false">IF(OR(C44&lt;&gt;"Closed",D44="",F44=""),"",IF(I11&gt;D44,"",F44*Loans!C7/12))</f>
        <v/>
      </c>
      <c r="J44" s="15" t="str">
        <f aca="false">IF(OR(C44&lt;&gt;"Closed",D44="",F44=""),"",IF(J11&gt;D44,"",I104*Loans!C7/12))</f>
        <v/>
      </c>
      <c r="K44" s="15" t="str">
        <f aca="false">IF(OR(C44&lt;&gt;"Closed",D44="",F44=""),"",IF(K11&gt;D44,"",J104*Loans!C7/12))</f>
        <v/>
      </c>
      <c r="L44" s="15" t="str">
        <f aca="false">IF(OR(C44&lt;&gt;"Closed",D44="",F44=""),"",IF(L11&gt;D44,"",K104*Loans!C7/12))</f>
        <v/>
      </c>
      <c r="M44" s="15" t="str">
        <f aca="false">IF(OR(C44&lt;&gt;"Closed",D44="",F44=""),"",IF(M11&gt;D44,"",L104*Loans!C7/12))</f>
        <v/>
      </c>
      <c r="N44" s="15" t="str">
        <f aca="false">IF(OR(C44&lt;&gt;"Closed",D44="",F44=""),"",IF(N11&gt;D44,"",M104*Loans!C7/12))</f>
        <v/>
      </c>
      <c r="O44" s="15" t="str">
        <f aca="false">IF(OR(C44&lt;&gt;"Closed",D44="",F44=""),"",IF(O11&gt;D44,"",N104*Loans!C7/12))</f>
        <v/>
      </c>
      <c r="P44" s="15" t="str">
        <f aca="false">IF(OR(C44&lt;&gt;"Closed",D44="",F44=""),"",IF(P11&gt;D44,"",O104*Loans!C7/12))</f>
        <v/>
      </c>
      <c r="Q44" s="15" t="str">
        <f aca="false">IF(OR(C44&lt;&gt;"Closed",D44="",F44=""),"",IF(Q11&gt;D44,"",P104*Loans!C7/12))</f>
        <v/>
      </c>
      <c r="R44" s="15" t="str">
        <f aca="false">IF(OR(C44&lt;&gt;"Closed",D44="",F44=""),"",IF(R11&gt;D44,"",Q104*Loans!C7/12))</f>
        <v/>
      </c>
      <c r="S44" s="15" t="str">
        <f aca="false">IF(OR(C44&lt;&gt;"Closed",D44="",F44=""),"",IF(S11&gt;D44,"",R104*Loans!C7/12))</f>
        <v/>
      </c>
      <c r="T44" s="15" t="str">
        <f aca="false">IF(OR(C44&lt;&gt;"Closed",D44="",F44=""),"",IF(T11&gt;D44,"",S104*Loans!C7/12))</f>
        <v/>
      </c>
      <c r="U44" s="15" t="str">
        <f aca="false">IF(OR(C44&lt;&gt;"Closed",D44="",F44=""),"",IF(U11&gt;D44,"",T104*Loans!C7/12))</f>
        <v/>
      </c>
      <c r="V44" s="15" t="str">
        <f aca="false">IF(OR(C44&lt;&gt;"Closed",D44="",F44=""),"",IF(V11&gt;D44,"",U104*Loans!C7/12))</f>
        <v/>
      </c>
      <c r="W44" s="15" t="str">
        <f aca="false">IF(OR(C44&lt;&gt;"Closed",D44="",F44=""),"",IF(W11&gt;D44,"",V104*Loans!C7/12))</f>
        <v/>
      </c>
      <c r="X44" s="15" t="str">
        <f aca="false">IF(OR(C44&lt;&gt;"Closed",D44="",F44=""),"",IF(X11&gt;D44,"",W104*Loans!C7/12))</f>
        <v/>
      </c>
      <c r="Y44" s="15" t="str">
        <f aca="false">IF(OR(C44&lt;&gt;"Closed",D44="",F44=""),"",IF(Y11&gt;D44,"",X104*Loans!C7/12))</f>
        <v/>
      </c>
      <c r="Z44" s="15" t="str">
        <f aca="false">IF(OR(C44&lt;&gt;"Closed",D44="",F44=""),"",IF(Z11&gt;D44,"",Y104*Loans!C7/12))</f>
        <v/>
      </c>
      <c r="AA44" s="15" t="str">
        <f aca="false">IF(OR(C44&lt;&gt;"Closed",D44="",F44=""),"",IF(AA11&gt;D44,"",Z104*Loans!C7/12))</f>
        <v/>
      </c>
      <c r="AB44" s="15" t="str">
        <f aca="false">IF(OR(C44&lt;&gt;"Closed",D44="",F44=""),"",IF(AB11&gt;D44,"",AA104*Loans!C7/12))</f>
        <v/>
      </c>
      <c r="AC44" s="15" t="str">
        <f aca="false">IF(OR(C44&lt;&gt;"Closed",D44="",F44=""),"",IF(AC11&gt;D44,"",AB104*Loans!C7/12))</f>
        <v/>
      </c>
      <c r="AD44" s="15" t="str">
        <f aca="false">IF(OR(C44&lt;&gt;"Closed",D44="",F44=""),"",IF(AD11&gt;D44,"",AC104*Loans!C7/12))</f>
        <v/>
      </c>
      <c r="AE44" s="15" t="str">
        <f aca="false">IF(OR(C44&lt;&gt;"Closed",D44="",F44=""),"",IF(AE11&gt;D44,"",AD104*Loans!C7/12))</f>
        <v/>
      </c>
      <c r="AF44" s="15" t="str">
        <f aca="false">IF(OR(C44&lt;&gt;"Closed",D44="",F44=""),"",IF(AF11&gt;D44,"",AE104*Loans!C7/12))</f>
        <v/>
      </c>
      <c r="AG44" s="15" t="str">
        <f aca="false">IF(OR(C44&lt;&gt;"Closed",D44="",F44=""),"",IF(AG11&gt;D44,"",AF104*Loans!C7/12))</f>
        <v/>
      </c>
      <c r="AH44" s="15" t="str">
        <f aca="false">IF(OR(C44&lt;&gt;"Closed",D44="",F44=""),"",IF(AH11&gt;D44,"",AG104*Loans!C7/12))</f>
        <v/>
      </c>
      <c r="AI44" s="15" t="str">
        <f aca="false">IF(OR(C44&lt;&gt;"Closed",D44="",F44=""),"",IF(AI11&gt;D44,"",AH104*Loans!C7/12))</f>
        <v/>
      </c>
      <c r="AJ44" s="15" t="str">
        <f aca="false">IF(OR(C44&lt;&gt;"Closed",D44="",F44=""),"",IF(AJ11&gt;D44,"",AI104*Loans!C7/12))</f>
        <v/>
      </c>
      <c r="AK44" s="15" t="str">
        <f aca="false">IF(OR(C44&lt;&gt;"Closed",D44="",F44=""),"",IF(AK11&gt;D44,"",AJ104*Loans!C7/12))</f>
        <v/>
      </c>
      <c r="AL44" s="15" t="str">
        <f aca="false">IF(OR(C44&lt;&gt;"Closed",D44="",F44=""),"",IF(AL11&gt;D44,"",AK104*Loans!C7/12))</f>
        <v/>
      </c>
      <c r="AM44" s="15" t="str">
        <f aca="false">IF(OR(C44&lt;&gt;"Closed",D44="",F44=""),"",IF(AM11&gt;D44,"",AL104*Loans!C7/12))</f>
        <v/>
      </c>
      <c r="AN44" s="15" t="str">
        <f aca="false">IF(OR(C44&lt;&gt;"Closed",D44="",F44=""),"",IF(AN11&gt;D44,"",AM104*Loans!C7/12))</f>
        <v/>
      </c>
      <c r="AO44" s="15" t="str">
        <f aca="false">IF(OR(C44&lt;&gt;"Closed",D44="",F44=""),"",IF(AO11&gt;D44,"",AN104*Loans!C7/12))</f>
        <v/>
      </c>
      <c r="AP44" s="15" t="str">
        <f aca="false">IF(OR(C44&lt;&gt;"Closed",D44="",F44=""),"",IF(AP11&gt;D44,"",AO104*Loans!C7/12))</f>
        <v/>
      </c>
      <c r="AQ44" s="15" t="str">
        <f aca="false">IF(OR(C44&lt;&gt;"Closed",D44="",F44=""),"",IF(AQ11&gt;D44,"",AP104*Loans!C7/12))</f>
        <v/>
      </c>
      <c r="AR44" s="15" t="str">
        <f aca="false">IF(OR(C44&lt;&gt;"Closed",D44="",F44=""),"",IF(AR11&gt;D44,"",AQ104*Loans!C7/12))</f>
        <v/>
      </c>
      <c r="AS44" s="15" t="str">
        <f aca="false">IF(OR(C44&lt;&gt;"Closed",D44="",F44=""),"",IF(AS11&gt;D44,"",AR104*Loans!C7/12))</f>
        <v/>
      </c>
      <c r="AT44" s="15" t="str">
        <f aca="false">IF(OR(C44&lt;&gt;"Closed",D44="",F44=""),"",IF(AT11&gt;D44,"",AS104*Loans!C7/12))</f>
        <v/>
      </c>
      <c r="AU44" s="15" t="str">
        <f aca="false">IF(OR(C44&lt;&gt;"Closed",D44="",F44=""),"",IF(AU11&gt;D44,"",AT104*Loans!C7/12))</f>
        <v/>
      </c>
      <c r="AV44" s="15" t="str">
        <f aca="false">IF(OR(C44&lt;&gt;"Closed",D44="",F44=""),"",IF(AV11&gt;D44,"",AU104*Loans!C7/12))</f>
        <v/>
      </c>
      <c r="AW44" s="15" t="str">
        <f aca="false">IF(OR(C44&lt;&gt;"Closed",D44="",F44=""),"",IF(AW11&gt;D44,"",AV104*Loans!C7/12))</f>
        <v/>
      </c>
      <c r="AX44" s="15" t="str">
        <f aca="false">IF(OR(C44&lt;&gt;"Closed",D44="",F44=""),"",IF(AX11&gt;D44,"",AW104*Loans!C7/12))</f>
        <v/>
      </c>
      <c r="AY44" s="15" t="str">
        <f aca="false">IF(OR(C44&lt;&gt;"Closed",D44="",F44=""),"",IF(AY11&gt;D44,"",AX104*Loans!C7/12))</f>
        <v/>
      </c>
      <c r="AZ44" s="15" t="str">
        <f aca="false">IF(OR(C44&lt;&gt;"Closed",D44="",F44=""),"",IF(AZ11&gt;D44,"",AY104*Loans!C7/12))</f>
        <v/>
      </c>
      <c r="BA44" s="15" t="str">
        <f aca="false">IF(OR(C44&lt;&gt;"Closed",D44="",F44=""),"",IF(BA11&gt;D44,"",AZ104*Loans!C7/12))</f>
        <v/>
      </c>
      <c r="BB44" s="15" t="str">
        <f aca="false">IF(OR(C44&lt;&gt;"Closed",D44="",F44=""),"",IF(BB11&gt;D44,"",BA104*Loans!C7/12))</f>
        <v/>
      </c>
      <c r="BC44" s="15" t="str">
        <f aca="false">IF(OR(C44&lt;&gt;"Closed",D44="",F44=""),"",IF(BC11&gt;D44,"",BB104*Loans!C7/12))</f>
        <v/>
      </c>
      <c r="BD44" s="15" t="str">
        <f aca="false">IF(OR(C44&lt;&gt;"Closed",D44="",F44=""),"",IF(BD11&gt;D44,"",BC104*Loans!C7/12))</f>
        <v/>
      </c>
      <c r="BE44" s="15" t="str">
        <f aca="false">IF(OR(C44&lt;&gt;"Closed",D44="",F44=""),"",IF(BE11&gt;D44,"",BD104*Loans!C7/12))</f>
        <v/>
      </c>
      <c r="BF44" s="15" t="str">
        <f aca="false">IF(OR(C44&lt;&gt;"Closed",D44="",F44=""),"",IF(BF11&gt;D44,"",BE104*Loans!C7/12))</f>
        <v/>
      </c>
      <c r="BG44" s="15" t="str">
        <f aca="false">IF(OR(C44&lt;&gt;"Closed",D44="",F44=""),"",IF(BG11&gt;D44,"",BF104*Loans!C7/12))</f>
        <v/>
      </c>
      <c r="BH44" s="15" t="str">
        <f aca="false">IF(OR(C44&lt;&gt;"Closed",D44="",F44=""),"",IF(BH11&gt;D44,"",BG104*Loans!C7/12))</f>
        <v/>
      </c>
      <c r="BI44" s="15" t="str">
        <f aca="false">IF(OR(C44&lt;&gt;"Closed",D44="",F44=""),"",IF(BI11&gt;D44,"",BH104*Loans!C7/12))</f>
        <v/>
      </c>
      <c r="BJ44" s="15" t="str">
        <f aca="false">IF(OR(C44&lt;&gt;"Closed",D44="",F44=""),"",IF(BJ11&gt;D44,"",BI104*Loans!C7/12))</f>
        <v/>
      </c>
      <c r="BK44" s="15" t="str">
        <f aca="false">IF(OR(C44&lt;&gt;"Closed",D44="",F44=""),"",IF(BK11&gt;D44,"",BJ104*Loans!C7/12))</f>
        <v/>
      </c>
      <c r="BL44" s="15" t="str">
        <f aca="false">IF(OR(C44&lt;&gt;"Closed",D44="",F44=""),"",IF(BL11&gt;D44,"",BK104*Loans!C7/12))</f>
        <v/>
      </c>
      <c r="BM44" s="15" t="str">
        <f aca="false">IF(OR(C44&lt;&gt;"Closed",D44="",F44=""),"",IF(BM11&gt;D44,"",BL104*Loans!C7/12))</f>
        <v/>
      </c>
      <c r="BN44" s="15" t="str">
        <f aca="false">IF(OR(C44&lt;&gt;"Closed",D44="",F44=""),"",IF(BN11&gt;D44,"",BM104*Loans!C7/12))</f>
        <v/>
      </c>
      <c r="BO44" s="15" t="str">
        <f aca="false">IF(OR(C44&lt;&gt;"Closed",D44="",F44=""),"",IF(BO11&gt;D44,"",BN104*Loans!C7/12))</f>
        <v/>
      </c>
      <c r="BP44" s="15" t="str">
        <f aca="false">IF(OR(C44&lt;&gt;"Closed",D44="",F44=""),"",IF(BP11&gt;D44,"",BO104*Loans!C7/12))</f>
        <v/>
      </c>
    </row>
    <row r="45" customFormat="false" ht="15" hidden="false" customHeight="false" outlineLevel="0" collapsed="false">
      <c r="A45" s="29" t="str">
        <f aca="false">IF(Loans!A45="","",Loans!A45)</f>
        <v/>
      </c>
      <c r="B45" s="29" t="str">
        <f aca="false">IF(Loans!B45="","",Loans!B45)</f>
        <v/>
      </c>
      <c r="C45" s="29" t="str">
        <f aca="false">IF(Loans!C45="","",Loans!C45)</f>
        <v/>
      </c>
      <c r="D45" s="16" t="str">
        <f aca="false">IF(Loans!I45="","",Loans!I45)</f>
        <v/>
      </c>
      <c r="E45" s="17" t="str">
        <f aca="false">IF(Loans!E45="","",Loans!E45)</f>
        <v/>
      </c>
      <c r="F45" s="15" t="str">
        <f aca="false">IF(Loans!F45="","",Loans!F45)</f>
        <v/>
      </c>
      <c r="G45" s="15" t="str">
        <f aca="false">IF(OR(C45&lt;&gt;"Closed",D45="",F45=""),"",PMT(Loans!C7/12,D45,-F45))</f>
        <v/>
      </c>
      <c r="H45" s="15" t="str">
        <f aca="false">IF(C45&lt;&gt;"Closed","",SUM(I45:BP45))</f>
        <v/>
      </c>
      <c r="I45" s="15" t="str">
        <f aca="false">IF(OR(C45&lt;&gt;"Closed",D45="",F45=""),"",IF(I11&gt;D45,"",F45*Loans!C7/12))</f>
        <v/>
      </c>
      <c r="J45" s="15" t="str">
        <f aca="false">IF(OR(C45&lt;&gt;"Closed",D45="",F45=""),"",IF(J11&gt;D45,"",I105*Loans!C7/12))</f>
        <v/>
      </c>
      <c r="K45" s="15" t="str">
        <f aca="false">IF(OR(C45&lt;&gt;"Closed",D45="",F45=""),"",IF(K11&gt;D45,"",J105*Loans!C7/12))</f>
        <v/>
      </c>
      <c r="L45" s="15" t="str">
        <f aca="false">IF(OR(C45&lt;&gt;"Closed",D45="",F45=""),"",IF(L11&gt;D45,"",K105*Loans!C7/12))</f>
        <v/>
      </c>
      <c r="M45" s="15" t="str">
        <f aca="false">IF(OR(C45&lt;&gt;"Closed",D45="",F45=""),"",IF(M11&gt;D45,"",L105*Loans!C7/12))</f>
        <v/>
      </c>
      <c r="N45" s="15" t="str">
        <f aca="false">IF(OR(C45&lt;&gt;"Closed",D45="",F45=""),"",IF(N11&gt;D45,"",M105*Loans!C7/12))</f>
        <v/>
      </c>
      <c r="O45" s="15" t="str">
        <f aca="false">IF(OR(C45&lt;&gt;"Closed",D45="",F45=""),"",IF(O11&gt;D45,"",N105*Loans!C7/12))</f>
        <v/>
      </c>
      <c r="P45" s="15" t="str">
        <f aca="false">IF(OR(C45&lt;&gt;"Closed",D45="",F45=""),"",IF(P11&gt;D45,"",O105*Loans!C7/12))</f>
        <v/>
      </c>
      <c r="Q45" s="15" t="str">
        <f aca="false">IF(OR(C45&lt;&gt;"Closed",D45="",F45=""),"",IF(Q11&gt;D45,"",P105*Loans!C7/12))</f>
        <v/>
      </c>
      <c r="R45" s="15" t="str">
        <f aca="false">IF(OR(C45&lt;&gt;"Closed",D45="",F45=""),"",IF(R11&gt;D45,"",Q105*Loans!C7/12))</f>
        <v/>
      </c>
      <c r="S45" s="15" t="str">
        <f aca="false">IF(OR(C45&lt;&gt;"Closed",D45="",F45=""),"",IF(S11&gt;D45,"",R105*Loans!C7/12))</f>
        <v/>
      </c>
      <c r="T45" s="15" t="str">
        <f aca="false">IF(OR(C45&lt;&gt;"Closed",D45="",F45=""),"",IF(T11&gt;D45,"",S105*Loans!C7/12))</f>
        <v/>
      </c>
      <c r="U45" s="15" t="str">
        <f aca="false">IF(OR(C45&lt;&gt;"Closed",D45="",F45=""),"",IF(U11&gt;D45,"",T105*Loans!C7/12))</f>
        <v/>
      </c>
      <c r="V45" s="15" t="str">
        <f aca="false">IF(OR(C45&lt;&gt;"Closed",D45="",F45=""),"",IF(V11&gt;D45,"",U105*Loans!C7/12))</f>
        <v/>
      </c>
      <c r="W45" s="15" t="str">
        <f aca="false">IF(OR(C45&lt;&gt;"Closed",D45="",F45=""),"",IF(W11&gt;D45,"",V105*Loans!C7/12))</f>
        <v/>
      </c>
      <c r="X45" s="15" t="str">
        <f aca="false">IF(OR(C45&lt;&gt;"Closed",D45="",F45=""),"",IF(X11&gt;D45,"",W105*Loans!C7/12))</f>
        <v/>
      </c>
      <c r="Y45" s="15" t="str">
        <f aca="false">IF(OR(C45&lt;&gt;"Closed",D45="",F45=""),"",IF(Y11&gt;D45,"",X105*Loans!C7/12))</f>
        <v/>
      </c>
      <c r="Z45" s="15" t="str">
        <f aca="false">IF(OR(C45&lt;&gt;"Closed",D45="",F45=""),"",IF(Z11&gt;D45,"",Y105*Loans!C7/12))</f>
        <v/>
      </c>
      <c r="AA45" s="15" t="str">
        <f aca="false">IF(OR(C45&lt;&gt;"Closed",D45="",F45=""),"",IF(AA11&gt;D45,"",Z105*Loans!C7/12))</f>
        <v/>
      </c>
      <c r="AB45" s="15" t="str">
        <f aca="false">IF(OR(C45&lt;&gt;"Closed",D45="",F45=""),"",IF(AB11&gt;D45,"",AA105*Loans!C7/12))</f>
        <v/>
      </c>
      <c r="AC45" s="15" t="str">
        <f aca="false">IF(OR(C45&lt;&gt;"Closed",D45="",F45=""),"",IF(AC11&gt;D45,"",AB105*Loans!C7/12))</f>
        <v/>
      </c>
      <c r="AD45" s="15" t="str">
        <f aca="false">IF(OR(C45&lt;&gt;"Closed",D45="",F45=""),"",IF(AD11&gt;D45,"",AC105*Loans!C7/12))</f>
        <v/>
      </c>
      <c r="AE45" s="15" t="str">
        <f aca="false">IF(OR(C45&lt;&gt;"Closed",D45="",F45=""),"",IF(AE11&gt;D45,"",AD105*Loans!C7/12))</f>
        <v/>
      </c>
      <c r="AF45" s="15" t="str">
        <f aca="false">IF(OR(C45&lt;&gt;"Closed",D45="",F45=""),"",IF(AF11&gt;D45,"",AE105*Loans!C7/12))</f>
        <v/>
      </c>
      <c r="AG45" s="15" t="str">
        <f aca="false">IF(OR(C45&lt;&gt;"Closed",D45="",F45=""),"",IF(AG11&gt;D45,"",AF105*Loans!C7/12))</f>
        <v/>
      </c>
      <c r="AH45" s="15" t="str">
        <f aca="false">IF(OR(C45&lt;&gt;"Closed",D45="",F45=""),"",IF(AH11&gt;D45,"",AG105*Loans!C7/12))</f>
        <v/>
      </c>
      <c r="AI45" s="15" t="str">
        <f aca="false">IF(OR(C45&lt;&gt;"Closed",D45="",F45=""),"",IF(AI11&gt;D45,"",AH105*Loans!C7/12))</f>
        <v/>
      </c>
      <c r="AJ45" s="15" t="str">
        <f aca="false">IF(OR(C45&lt;&gt;"Closed",D45="",F45=""),"",IF(AJ11&gt;D45,"",AI105*Loans!C7/12))</f>
        <v/>
      </c>
      <c r="AK45" s="15" t="str">
        <f aca="false">IF(OR(C45&lt;&gt;"Closed",D45="",F45=""),"",IF(AK11&gt;D45,"",AJ105*Loans!C7/12))</f>
        <v/>
      </c>
      <c r="AL45" s="15" t="str">
        <f aca="false">IF(OR(C45&lt;&gt;"Closed",D45="",F45=""),"",IF(AL11&gt;D45,"",AK105*Loans!C7/12))</f>
        <v/>
      </c>
      <c r="AM45" s="15" t="str">
        <f aca="false">IF(OR(C45&lt;&gt;"Closed",D45="",F45=""),"",IF(AM11&gt;D45,"",AL105*Loans!C7/12))</f>
        <v/>
      </c>
      <c r="AN45" s="15" t="str">
        <f aca="false">IF(OR(C45&lt;&gt;"Closed",D45="",F45=""),"",IF(AN11&gt;D45,"",AM105*Loans!C7/12))</f>
        <v/>
      </c>
      <c r="AO45" s="15" t="str">
        <f aca="false">IF(OR(C45&lt;&gt;"Closed",D45="",F45=""),"",IF(AO11&gt;D45,"",AN105*Loans!C7/12))</f>
        <v/>
      </c>
      <c r="AP45" s="15" t="str">
        <f aca="false">IF(OR(C45&lt;&gt;"Closed",D45="",F45=""),"",IF(AP11&gt;D45,"",AO105*Loans!C7/12))</f>
        <v/>
      </c>
      <c r="AQ45" s="15" t="str">
        <f aca="false">IF(OR(C45&lt;&gt;"Closed",D45="",F45=""),"",IF(AQ11&gt;D45,"",AP105*Loans!C7/12))</f>
        <v/>
      </c>
      <c r="AR45" s="15" t="str">
        <f aca="false">IF(OR(C45&lt;&gt;"Closed",D45="",F45=""),"",IF(AR11&gt;D45,"",AQ105*Loans!C7/12))</f>
        <v/>
      </c>
      <c r="AS45" s="15" t="str">
        <f aca="false">IF(OR(C45&lt;&gt;"Closed",D45="",F45=""),"",IF(AS11&gt;D45,"",AR105*Loans!C7/12))</f>
        <v/>
      </c>
      <c r="AT45" s="15" t="str">
        <f aca="false">IF(OR(C45&lt;&gt;"Closed",D45="",F45=""),"",IF(AT11&gt;D45,"",AS105*Loans!C7/12))</f>
        <v/>
      </c>
      <c r="AU45" s="15" t="str">
        <f aca="false">IF(OR(C45&lt;&gt;"Closed",D45="",F45=""),"",IF(AU11&gt;D45,"",AT105*Loans!C7/12))</f>
        <v/>
      </c>
      <c r="AV45" s="15" t="str">
        <f aca="false">IF(OR(C45&lt;&gt;"Closed",D45="",F45=""),"",IF(AV11&gt;D45,"",AU105*Loans!C7/12))</f>
        <v/>
      </c>
      <c r="AW45" s="15" t="str">
        <f aca="false">IF(OR(C45&lt;&gt;"Closed",D45="",F45=""),"",IF(AW11&gt;D45,"",AV105*Loans!C7/12))</f>
        <v/>
      </c>
      <c r="AX45" s="15" t="str">
        <f aca="false">IF(OR(C45&lt;&gt;"Closed",D45="",F45=""),"",IF(AX11&gt;D45,"",AW105*Loans!C7/12))</f>
        <v/>
      </c>
      <c r="AY45" s="15" t="str">
        <f aca="false">IF(OR(C45&lt;&gt;"Closed",D45="",F45=""),"",IF(AY11&gt;D45,"",AX105*Loans!C7/12))</f>
        <v/>
      </c>
      <c r="AZ45" s="15" t="str">
        <f aca="false">IF(OR(C45&lt;&gt;"Closed",D45="",F45=""),"",IF(AZ11&gt;D45,"",AY105*Loans!C7/12))</f>
        <v/>
      </c>
      <c r="BA45" s="15" t="str">
        <f aca="false">IF(OR(C45&lt;&gt;"Closed",D45="",F45=""),"",IF(BA11&gt;D45,"",AZ105*Loans!C7/12))</f>
        <v/>
      </c>
      <c r="BB45" s="15" t="str">
        <f aca="false">IF(OR(C45&lt;&gt;"Closed",D45="",F45=""),"",IF(BB11&gt;D45,"",BA105*Loans!C7/12))</f>
        <v/>
      </c>
      <c r="BC45" s="15" t="str">
        <f aca="false">IF(OR(C45&lt;&gt;"Closed",D45="",F45=""),"",IF(BC11&gt;D45,"",BB105*Loans!C7/12))</f>
        <v/>
      </c>
      <c r="BD45" s="15" t="str">
        <f aca="false">IF(OR(C45&lt;&gt;"Closed",D45="",F45=""),"",IF(BD11&gt;D45,"",BC105*Loans!C7/12))</f>
        <v/>
      </c>
      <c r="BE45" s="15" t="str">
        <f aca="false">IF(OR(C45&lt;&gt;"Closed",D45="",F45=""),"",IF(BE11&gt;D45,"",BD105*Loans!C7/12))</f>
        <v/>
      </c>
      <c r="BF45" s="15" t="str">
        <f aca="false">IF(OR(C45&lt;&gt;"Closed",D45="",F45=""),"",IF(BF11&gt;D45,"",BE105*Loans!C7/12))</f>
        <v/>
      </c>
      <c r="BG45" s="15" t="str">
        <f aca="false">IF(OR(C45&lt;&gt;"Closed",D45="",F45=""),"",IF(BG11&gt;D45,"",BF105*Loans!C7/12))</f>
        <v/>
      </c>
      <c r="BH45" s="15" t="str">
        <f aca="false">IF(OR(C45&lt;&gt;"Closed",D45="",F45=""),"",IF(BH11&gt;D45,"",BG105*Loans!C7/12))</f>
        <v/>
      </c>
      <c r="BI45" s="15" t="str">
        <f aca="false">IF(OR(C45&lt;&gt;"Closed",D45="",F45=""),"",IF(BI11&gt;D45,"",BH105*Loans!C7/12))</f>
        <v/>
      </c>
      <c r="BJ45" s="15" t="str">
        <f aca="false">IF(OR(C45&lt;&gt;"Closed",D45="",F45=""),"",IF(BJ11&gt;D45,"",BI105*Loans!C7/12))</f>
        <v/>
      </c>
      <c r="BK45" s="15" t="str">
        <f aca="false">IF(OR(C45&lt;&gt;"Closed",D45="",F45=""),"",IF(BK11&gt;D45,"",BJ105*Loans!C7/12))</f>
        <v/>
      </c>
      <c r="BL45" s="15" t="str">
        <f aca="false">IF(OR(C45&lt;&gt;"Closed",D45="",F45=""),"",IF(BL11&gt;D45,"",BK105*Loans!C7/12))</f>
        <v/>
      </c>
      <c r="BM45" s="15" t="str">
        <f aca="false">IF(OR(C45&lt;&gt;"Closed",D45="",F45=""),"",IF(BM11&gt;D45,"",BL105*Loans!C7/12))</f>
        <v/>
      </c>
      <c r="BN45" s="15" t="str">
        <f aca="false">IF(OR(C45&lt;&gt;"Closed",D45="",F45=""),"",IF(BN11&gt;D45,"",BM105*Loans!C7/12))</f>
        <v/>
      </c>
      <c r="BO45" s="15" t="str">
        <f aca="false">IF(OR(C45&lt;&gt;"Closed",D45="",F45=""),"",IF(BO11&gt;D45,"",BN105*Loans!C7/12))</f>
        <v/>
      </c>
      <c r="BP45" s="15" t="str">
        <f aca="false">IF(OR(C45&lt;&gt;"Closed",D45="",F45=""),"",IF(BP11&gt;D45,"",BO105*Loans!C7/12))</f>
        <v/>
      </c>
    </row>
    <row r="46" customFormat="false" ht="15" hidden="false" customHeight="false" outlineLevel="0" collapsed="false">
      <c r="A46" s="29" t="str">
        <f aca="false">IF(Loans!A46="","",Loans!A46)</f>
        <v/>
      </c>
      <c r="B46" s="29" t="str">
        <f aca="false">IF(Loans!B46="","",Loans!B46)</f>
        <v/>
      </c>
      <c r="C46" s="29" t="str">
        <f aca="false">IF(Loans!C46="","",Loans!C46)</f>
        <v/>
      </c>
      <c r="D46" s="16" t="str">
        <f aca="false">IF(Loans!I46="","",Loans!I46)</f>
        <v/>
      </c>
      <c r="E46" s="17" t="str">
        <f aca="false">IF(Loans!E46="","",Loans!E46)</f>
        <v/>
      </c>
      <c r="F46" s="15" t="str">
        <f aca="false">IF(Loans!F46="","",Loans!F46)</f>
        <v/>
      </c>
      <c r="G46" s="15" t="str">
        <f aca="false">IF(OR(C46&lt;&gt;"Closed",D46="",F46=""),"",PMT(Loans!C7/12,D46,-F46))</f>
        <v/>
      </c>
      <c r="H46" s="15" t="str">
        <f aca="false">IF(C46&lt;&gt;"Closed","",SUM(I46:BP46))</f>
        <v/>
      </c>
      <c r="I46" s="15" t="str">
        <f aca="false">IF(OR(C46&lt;&gt;"Closed",D46="",F46=""),"",IF(I11&gt;D46,"",F46*Loans!C7/12))</f>
        <v/>
      </c>
      <c r="J46" s="15" t="str">
        <f aca="false">IF(OR(C46&lt;&gt;"Closed",D46="",F46=""),"",IF(J11&gt;D46,"",I106*Loans!C7/12))</f>
        <v/>
      </c>
      <c r="K46" s="15" t="str">
        <f aca="false">IF(OR(C46&lt;&gt;"Closed",D46="",F46=""),"",IF(K11&gt;D46,"",J106*Loans!C7/12))</f>
        <v/>
      </c>
      <c r="L46" s="15" t="str">
        <f aca="false">IF(OR(C46&lt;&gt;"Closed",D46="",F46=""),"",IF(L11&gt;D46,"",K106*Loans!C7/12))</f>
        <v/>
      </c>
      <c r="M46" s="15" t="str">
        <f aca="false">IF(OR(C46&lt;&gt;"Closed",D46="",F46=""),"",IF(M11&gt;D46,"",L106*Loans!C7/12))</f>
        <v/>
      </c>
      <c r="N46" s="15" t="str">
        <f aca="false">IF(OR(C46&lt;&gt;"Closed",D46="",F46=""),"",IF(N11&gt;D46,"",M106*Loans!C7/12))</f>
        <v/>
      </c>
      <c r="O46" s="15" t="str">
        <f aca="false">IF(OR(C46&lt;&gt;"Closed",D46="",F46=""),"",IF(O11&gt;D46,"",N106*Loans!C7/12))</f>
        <v/>
      </c>
      <c r="P46" s="15" t="str">
        <f aca="false">IF(OR(C46&lt;&gt;"Closed",D46="",F46=""),"",IF(P11&gt;D46,"",O106*Loans!C7/12))</f>
        <v/>
      </c>
      <c r="Q46" s="15" t="str">
        <f aca="false">IF(OR(C46&lt;&gt;"Closed",D46="",F46=""),"",IF(Q11&gt;D46,"",P106*Loans!C7/12))</f>
        <v/>
      </c>
      <c r="R46" s="15" t="str">
        <f aca="false">IF(OR(C46&lt;&gt;"Closed",D46="",F46=""),"",IF(R11&gt;D46,"",Q106*Loans!C7/12))</f>
        <v/>
      </c>
      <c r="S46" s="15" t="str">
        <f aca="false">IF(OR(C46&lt;&gt;"Closed",D46="",F46=""),"",IF(S11&gt;D46,"",R106*Loans!C7/12))</f>
        <v/>
      </c>
      <c r="T46" s="15" t="str">
        <f aca="false">IF(OR(C46&lt;&gt;"Closed",D46="",F46=""),"",IF(T11&gt;D46,"",S106*Loans!C7/12))</f>
        <v/>
      </c>
      <c r="U46" s="15" t="str">
        <f aca="false">IF(OR(C46&lt;&gt;"Closed",D46="",F46=""),"",IF(U11&gt;D46,"",T106*Loans!C7/12))</f>
        <v/>
      </c>
      <c r="V46" s="15" t="str">
        <f aca="false">IF(OR(C46&lt;&gt;"Closed",D46="",F46=""),"",IF(V11&gt;D46,"",U106*Loans!C7/12))</f>
        <v/>
      </c>
      <c r="W46" s="15" t="str">
        <f aca="false">IF(OR(C46&lt;&gt;"Closed",D46="",F46=""),"",IF(W11&gt;D46,"",V106*Loans!C7/12))</f>
        <v/>
      </c>
      <c r="X46" s="15" t="str">
        <f aca="false">IF(OR(C46&lt;&gt;"Closed",D46="",F46=""),"",IF(X11&gt;D46,"",W106*Loans!C7/12))</f>
        <v/>
      </c>
      <c r="Y46" s="15" t="str">
        <f aca="false">IF(OR(C46&lt;&gt;"Closed",D46="",F46=""),"",IF(Y11&gt;D46,"",X106*Loans!C7/12))</f>
        <v/>
      </c>
      <c r="Z46" s="15" t="str">
        <f aca="false">IF(OR(C46&lt;&gt;"Closed",D46="",F46=""),"",IF(Z11&gt;D46,"",Y106*Loans!C7/12))</f>
        <v/>
      </c>
      <c r="AA46" s="15" t="str">
        <f aca="false">IF(OR(C46&lt;&gt;"Closed",D46="",F46=""),"",IF(AA11&gt;D46,"",Z106*Loans!C7/12))</f>
        <v/>
      </c>
      <c r="AB46" s="15" t="str">
        <f aca="false">IF(OR(C46&lt;&gt;"Closed",D46="",F46=""),"",IF(AB11&gt;D46,"",AA106*Loans!C7/12))</f>
        <v/>
      </c>
      <c r="AC46" s="15" t="str">
        <f aca="false">IF(OR(C46&lt;&gt;"Closed",D46="",F46=""),"",IF(AC11&gt;D46,"",AB106*Loans!C7/12))</f>
        <v/>
      </c>
      <c r="AD46" s="15" t="str">
        <f aca="false">IF(OR(C46&lt;&gt;"Closed",D46="",F46=""),"",IF(AD11&gt;D46,"",AC106*Loans!C7/12))</f>
        <v/>
      </c>
      <c r="AE46" s="15" t="str">
        <f aca="false">IF(OR(C46&lt;&gt;"Closed",D46="",F46=""),"",IF(AE11&gt;D46,"",AD106*Loans!C7/12))</f>
        <v/>
      </c>
      <c r="AF46" s="15" t="str">
        <f aca="false">IF(OR(C46&lt;&gt;"Closed",D46="",F46=""),"",IF(AF11&gt;D46,"",AE106*Loans!C7/12))</f>
        <v/>
      </c>
      <c r="AG46" s="15" t="str">
        <f aca="false">IF(OR(C46&lt;&gt;"Closed",D46="",F46=""),"",IF(AG11&gt;D46,"",AF106*Loans!C7/12))</f>
        <v/>
      </c>
      <c r="AH46" s="15" t="str">
        <f aca="false">IF(OR(C46&lt;&gt;"Closed",D46="",F46=""),"",IF(AH11&gt;D46,"",AG106*Loans!C7/12))</f>
        <v/>
      </c>
      <c r="AI46" s="15" t="str">
        <f aca="false">IF(OR(C46&lt;&gt;"Closed",D46="",F46=""),"",IF(AI11&gt;D46,"",AH106*Loans!C7/12))</f>
        <v/>
      </c>
      <c r="AJ46" s="15" t="str">
        <f aca="false">IF(OR(C46&lt;&gt;"Closed",D46="",F46=""),"",IF(AJ11&gt;D46,"",AI106*Loans!C7/12))</f>
        <v/>
      </c>
      <c r="AK46" s="15" t="str">
        <f aca="false">IF(OR(C46&lt;&gt;"Closed",D46="",F46=""),"",IF(AK11&gt;D46,"",AJ106*Loans!C7/12))</f>
        <v/>
      </c>
      <c r="AL46" s="15" t="str">
        <f aca="false">IF(OR(C46&lt;&gt;"Closed",D46="",F46=""),"",IF(AL11&gt;D46,"",AK106*Loans!C7/12))</f>
        <v/>
      </c>
      <c r="AM46" s="15" t="str">
        <f aca="false">IF(OR(C46&lt;&gt;"Closed",D46="",F46=""),"",IF(AM11&gt;D46,"",AL106*Loans!C7/12))</f>
        <v/>
      </c>
      <c r="AN46" s="15" t="str">
        <f aca="false">IF(OR(C46&lt;&gt;"Closed",D46="",F46=""),"",IF(AN11&gt;D46,"",AM106*Loans!C7/12))</f>
        <v/>
      </c>
      <c r="AO46" s="15" t="str">
        <f aca="false">IF(OR(C46&lt;&gt;"Closed",D46="",F46=""),"",IF(AO11&gt;D46,"",AN106*Loans!C7/12))</f>
        <v/>
      </c>
      <c r="AP46" s="15" t="str">
        <f aca="false">IF(OR(C46&lt;&gt;"Closed",D46="",F46=""),"",IF(AP11&gt;D46,"",AO106*Loans!C7/12))</f>
        <v/>
      </c>
      <c r="AQ46" s="15" t="str">
        <f aca="false">IF(OR(C46&lt;&gt;"Closed",D46="",F46=""),"",IF(AQ11&gt;D46,"",AP106*Loans!C7/12))</f>
        <v/>
      </c>
      <c r="AR46" s="15" t="str">
        <f aca="false">IF(OR(C46&lt;&gt;"Closed",D46="",F46=""),"",IF(AR11&gt;D46,"",AQ106*Loans!C7/12))</f>
        <v/>
      </c>
      <c r="AS46" s="15" t="str">
        <f aca="false">IF(OR(C46&lt;&gt;"Closed",D46="",F46=""),"",IF(AS11&gt;D46,"",AR106*Loans!C7/12))</f>
        <v/>
      </c>
      <c r="AT46" s="15" t="str">
        <f aca="false">IF(OR(C46&lt;&gt;"Closed",D46="",F46=""),"",IF(AT11&gt;D46,"",AS106*Loans!C7/12))</f>
        <v/>
      </c>
      <c r="AU46" s="15" t="str">
        <f aca="false">IF(OR(C46&lt;&gt;"Closed",D46="",F46=""),"",IF(AU11&gt;D46,"",AT106*Loans!C7/12))</f>
        <v/>
      </c>
      <c r="AV46" s="15" t="str">
        <f aca="false">IF(OR(C46&lt;&gt;"Closed",D46="",F46=""),"",IF(AV11&gt;D46,"",AU106*Loans!C7/12))</f>
        <v/>
      </c>
      <c r="AW46" s="15" t="str">
        <f aca="false">IF(OR(C46&lt;&gt;"Closed",D46="",F46=""),"",IF(AW11&gt;D46,"",AV106*Loans!C7/12))</f>
        <v/>
      </c>
      <c r="AX46" s="15" t="str">
        <f aca="false">IF(OR(C46&lt;&gt;"Closed",D46="",F46=""),"",IF(AX11&gt;D46,"",AW106*Loans!C7/12))</f>
        <v/>
      </c>
      <c r="AY46" s="15" t="str">
        <f aca="false">IF(OR(C46&lt;&gt;"Closed",D46="",F46=""),"",IF(AY11&gt;D46,"",AX106*Loans!C7/12))</f>
        <v/>
      </c>
      <c r="AZ46" s="15" t="str">
        <f aca="false">IF(OR(C46&lt;&gt;"Closed",D46="",F46=""),"",IF(AZ11&gt;D46,"",AY106*Loans!C7/12))</f>
        <v/>
      </c>
      <c r="BA46" s="15" t="str">
        <f aca="false">IF(OR(C46&lt;&gt;"Closed",D46="",F46=""),"",IF(BA11&gt;D46,"",AZ106*Loans!C7/12))</f>
        <v/>
      </c>
      <c r="BB46" s="15" t="str">
        <f aca="false">IF(OR(C46&lt;&gt;"Closed",D46="",F46=""),"",IF(BB11&gt;D46,"",BA106*Loans!C7/12))</f>
        <v/>
      </c>
      <c r="BC46" s="15" t="str">
        <f aca="false">IF(OR(C46&lt;&gt;"Closed",D46="",F46=""),"",IF(BC11&gt;D46,"",BB106*Loans!C7/12))</f>
        <v/>
      </c>
      <c r="BD46" s="15" t="str">
        <f aca="false">IF(OR(C46&lt;&gt;"Closed",D46="",F46=""),"",IF(BD11&gt;D46,"",BC106*Loans!C7/12))</f>
        <v/>
      </c>
      <c r="BE46" s="15" t="str">
        <f aca="false">IF(OR(C46&lt;&gt;"Closed",D46="",F46=""),"",IF(BE11&gt;D46,"",BD106*Loans!C7/12))</f>
        <v/>
      </c>
      <c r="BF46" s="15" t="str">
        <f aca="false">IF(OR(C46&lt;&gt;"Closed",D46="",F46=""),"",IF(BF11&gt;D46,"",BE106*Loans!C7/12))</f>
        <v/>
      </c>
      <c r="BG46" s="15" t="str">
        <f aca="false">IF(OR(C46&lt;&gt;"Closed",D46="",F46=""),"",IF(BG11&gt;D46,"",BF106*Loans!C7/12))</f>
        <v/>
      </c>
      <c r="BH46" s="15" t="str">
        <f aca="false">IF(OR(C46&lt;&gt;"Closed",D46="",F46=""),"",IF(BH11&gt;D46,"",BG106*Loans!C7/12))</f>
        <v/>
      </c>
      <c r="BI46" s="15" t="str">
        <f aca="false">IF(OR(C46&lt;&gt;"Closed",D46="",F46=""),"",IF(BI11&gt;D46,"",BH106*Loans!C7/12))</f>
        <v/>
      </c>
      <c r="BJ46" s="15" t="str">
        <f aca="false">IF(OR(C46&lt;&gt;"Closed",D46="",F46=""),"",IF(BJ11&gt;D46,"",BI106*Loans!C7/12))</f>
        <v/>
      </c>
      <c r="BK46" s="15" t="str">
        <f aca="false">IF(OR(C46&lt;&gt;"Closed",D46="",F46=""),"",IF(BK11&gt;D46,"",BJ106*Loans!C7/12))</f>
        <v/>
      </c>
      <c r="BL46" s="15" t="str">
        <f aca="false">IF(OR(C46&lt;&gt;"Closed",D46="",F46=""),"",IF(BL11&gt;D46,"",BK106*Loans!C7/12))</f>
        <v/>
      </c>
      <c r="BM46" s="15" t="str">
        <f aca="false">IF(OR(C46&lt;&gt;"Closed",D46="",F46=""),"",IF(BM11&gt;D46,"",BL106*Loans!C7/12))</f>
        <v/>
      </c>
      <c r="BN46" s="15" t="str">
        <f aca="false">IF(OR(C46&lt;&gt;"Closed",D46="",F46=""),"",IF(BN11&gt;D46,"",BM106*Loans!C7/12))</f>
        <v/>
      </c>
      <c r="BO46" s="15" t="str">
        <f aca="false">IF(OR(C46&lt;&gt;"Closed",D46="",F46=""),"",IF(BO11&gt;D46,"",BN106*Loans!C7/12))</f>
        <v/>
      </c>
      <c r="BP46" s="15" t="str">
        <f aca="false">IF(OR(C46&lt;&gt;"Closed",D46="",F46=""),"",IF(BP11&gt;D46,"",BO106*Loans!C7/12))</f>
        <v/>
      </c>
    </row>
    <row r="47" customFormat="false" ht="15" hidden="false" customHeight="false" outlineLevel="0" collapsed="false">
      <c r="A47" s="29" t="str">
        <f aca="false">IF(Loans!A47="","",Loans!A47)</f>
        <v/>
      </c>
      <c r="B47" s="29" t="str">
        <f aca="false">IF(Loans!B47="","",Loans!B47)</f>
        <v/>
      </c>
      <c r="C47" s="29" t="str">
        <f aca="false">IF(Loans!C47="","",Loans!C47)</f>
        <v/>
      </c>
      <c r="D47" s="16" t="str">
        <f aca="false">IF(Loans!I47="","",Loans!I47)</f>
        <v/>
      </c>
      <c r="E47" s="17" t="str">
        <f aca="false">IF(Loans!E47="","",Loans!E47)</f>
        <v/>
      </c>
      <c r="F47" s="15" t="str">
        <f aca="false">IF(Loans!F47="","",Loans!F47)</f>
        <v/>
      </c>
      <c r="G47" s="15" t="str">
        <f aca="false">IF(OR(C47&lt;&gt;"Closed",D47="",F47=""),"",PMT(Loans!C7/12,D47,-F47))</f>
        <v/>
      </c>
      <c r="H47" s="15" t="str">
        <f aca="false">IF(C47&lt;&gt;"Closed","",SUM(I47:BP47))</f>
        <v/>
      </c>
      <c r="I47" s="15" t="str">
        <f aca="false">IF(OR(C47&lt;&gt;"Closed",D47="",F47=""),"",IF(I11&gt;D47,"",F47*Loans!C7/12))</f>
        <v/>
      </c>
      <c r="J47" s="15" t="str">
        <f aca="false">IF(OR(C47&lt;&gt;"Closed",D47="",F47=""),"",IF(J11&gt;D47,"",I107*Loans!C7/12))</f>
        <v/>
      </c>
      <c r="K47" s="15" t="str">
        <f aca="false">IF(OR(C47&lt;&gt;"Closed",D47="",F47=""),"",IF(K11&gt;D47,"",J107*Loans!C7/12))</f>
        <v/>
      </c>
      <c r="L47" s="15" t="str">
        <f aca="false">IF(OR(C47&lt;&gt;"Closed",D47="",F47=""),"",IF(L11&gt;D47,"",K107*Loans!C7/12))</f>
        <v/>
      </c>
      <c r="M47" s="15" t="str">
        <f aca="false">IF(OR(C47&lt;&gt;"Closed",D47="",F47=""),"",IF(M11&gt;D47,"",L107*Loans!C7/12))</f>
        <v/>
      </c>
      <c r="N47" s="15" t="str">
        <f aca="false">IF(OR(C47&lt;&gt;"Closed",D47="",F47=""),"",IF(N11&gt;D47,"",M107*Loans!C7/12))</f>
        <v/>
      </c>
      <c r="O47" s="15" t="str">
        <f aca="false">IF(OR(C47&lt;&gt;"Closed",D47="",F47=""),"",IF(O11&gt;D47,"",N107*Loans!C7/12))</f>
        <v/>
      </c>
      <c r="P47" s="15" t="str">
        <f aca="false">IF(OR(C47&lt;&gt;"Closed",D47="",F47=""),"",IF(P11&gt;D47,"",O107*Loans!C7/12))</f>
        <v/>
      </c>
      <c r="Q47" s="15" t="str">
        <f aca="false">IF(OR(C47&lt;&gt;"Closed",D47="",F47=""),"",IF(Q11&gt;D47,"",P107*Loans!C7/12))</f>
        <v/>
      </c>
      <c r="R47" s="15" t="str">
        <f aca="false">IF(OR(C47&lt;&gt;"Closed",D47="",F47=""),"",IF(R11&gt;D47,"",Q107*Loans!C7/12))</f>
        <v/>
      </c>
      <c r="S47" s="15" t="str">
        <f aca="false">IF(OR(C47&lt;&gt;"Closed",D47="",F47=""),"",IF(S11&gt;D47,"",R107*Loans!C7/12))</f>
        <v/>
      </c>
      <c r="T47" s="15" t="str">
        <f aca="false">IF(OR(C47&lt;&gt;"Closed",D47="",F47=""),"",IF(T11&gt;D47,"",S107*Loans!C7/12))</f>
        <v/>
      </c>
      <c r="U47" s="15" t="str">
        <f aca="false">IF(OR(C47&lt;&gt;"Closed",D47="",F47=""),"",IF(U11&gt;D47,"",T107*Loans!C7/12))</f>
        <v/>
      </c>
      <c r="V47" s="15" t="str">
        <f aca="false">IF(OR(C47&lt;&gt;"Closed",D47="",F47=""),"",IF(V11&gt;D47,"",U107*Loans!C7/12))</f>
        <v/>
      </c>
      <c r="W47" s="15" t="str">
        <f aca="false">IF(OR(C47&lt;&gt;"Closed",D47="",F47=""),"",IF(W11&gt;D47,"",V107*Loans!C7/12))</f>
        <v/>
      </c>
      <c r="X47" s="15" t="str">
        <f aca="false">IF(OR(C47&lt;&gt;"Closed",D47="",F47=""),"",IF(X11&gt;D47,"",W107*Loans!C7/12))</f>
        <v/>
      </c>
      <c r="Y47" s="15" t="str">
        <f aca="false">IF(OR(C47&lt;&gt;"Closed",D47="",F47=""),"",IF(Y11&gt;D47,"",X107*Loans!C7/12))</f>
        <v/>
      </c>
      <c r="Z47" s="15" t="str">
        <f aca="false">IF(OR(C47&lt;&gt;"Closed",D47="",F47=""),"",IF(Z11&gt;D47,"",Y107*Loans!C7/12))</f>
        <v/>
      </c>
      <c r="AA47" s="15" t="str">
        <f aca="false">IF(OR(C47&lt;&gt;"Closed",D47="",F47=""),"",IF(AA11&gt;D47,"",Z107*Loans!C7/12))</f>
        <v/>
      </c>
      <c r="AB47" s="15" t="str">
        <f aca="false">IF(OR(C47&lt;&gt;"Closed",D47="",F47=""),"",IF(AB11&gt;D47,"",AA107*Loans!C7/12))</f>
        <v/>
      </c>
      <c r="AC47" s="15" t="str">
        <f aca="false">IF(OR(C47&lt;&gt;"Closed",D47="",F47=""),"",IF(AC11&gt;D47,"",AB107*Loans!C7/12))</f>
        <v/>
      </c>
      <c r="AD47" s="15" t="str">
        <f aca="false">IF(OR(C47&lt;&gt;"Closed",D47="",F47=""),"",IF(AD11&gt;D47,"",AC107*Loans!C7/12))</f>
        <v/>
      </c>
      <c r="AE47" s="15" t="str">
        <f aca="false">IF(OR(C47&lt;&gt;"Closed",D47="",F47=""),"",IF(AE11&gt;D47,"",AD107*Loans!C7/12))</f>
        <v/>
      </c>
      <c r="AF47" s="15" t="str">
        <f aca="false">IF(OR(C47&lt;&gt;"Closed",D47="",F47=""),"",IF(AF11&gt;D47,"",AE107*Loans!C7/12))</f>
        <v/>
      </c>
      <c r="AG47" s="15" t="str">
        <f aca="false">IF(OR(C47&lt;&gt;"Closed",D47="",F47=""),"",IF(AG11&gt;D47,"",AF107*Loans!C7/12))</f>
        <v/>
      </c>
      <c r="AH47" s="15" t="str">
        <f aca="false">IF(OR(C47&lt;&gt;"Closed",D47="",F47=""),"",IF(AH11&gt;D47,"",AG107*Loans!C7/12))</f>
        <v/>
      </c>
      <c r="AI47" s="15" t="str">
        <f aca="false">IF(OR(C47&lt;&gt;"Closed",D47="",F47=""),"",IF(AI11&gt;D47,"",AH107*Loans!C7/12))</f>
        <v/>
      </c>
      <c r="AJ47" s="15" t="str">
        <f aca="false">IF(OR(C47&lt;&gt;"Closed",D47="",F47=""),"",IF(AJ11&gt;D47,"",AI107*Loans!C7/12))</f>
        <v/>
      </c>
      <c r="AK47" s="15" t="str">
        <f aca="false">IF(OR(C47&lt;&gt;"Closed",D47="",F47=""),"",IF(AK11&gt;D47,"",AJ107*Loans!C7/12))</f>
        <v/>
      </c>
      <c r="AL47" s="15" t="str">
        <f aca="false">IF(OR(C47&lt;&gt;"Closed",D47="",F47=""),"",IF(AL11&gt;D47,"",AK107*Loans!C7/12))</f>
        <v/>
      </c>
      <c r="AM47" s="15" t="str">
        <f aca="false">IF(OR(C47&lt;&gt;"Closed",D47="",F47=""),"",IF(AM11&gt;D47,"",AL107*Loans!C7/12))</f>
        <v/>
      </c>
      <c r="AN47" s="15" t="str">
        <f aca="false">IF(OR(C47&lt;&gt;"Closed",D47="",F47=""),"",IF(AN11&gt;D47,"",AM107*Loans!C7/12))</f>
        <v/>
      </c>
      <c r="AO47" s="15" t="str">
        <f aca="false">IF(OR(C47&lt;&gt;"Closed",D47="",F47=""),"",IF(AO11&gt;D47,"",AN107*Loans!C7/12))</f>
        <v/>
      </c>
      <c r="AP47" s="15" t="str">
        <f aca="false">IF(OR(C47&lt;&gt;"Closed",D47="",F47=""),"",IF(AP11&gt;D47,"",AO107*Loans!C7/12))</f>
        <v/>
      </c>
      <c r="AQ47" s="15" t="str">
        <f aca="false">IF(OR(C47&lt;&gt;"Closed",D47="",F47=""),"",IF(AQ11&gt;D47,"",AP107*Loans!C7/12))</f>
        <v/>
      </c>
      <c r="AR47" s="15" t="str">
        <f aca="false">IF(OR(C47&lt;&gt;"Closed",D47="",F47=""),"",IF(AR11&gt;D47,"",AQ107*Loans!C7/12))</f>
        <v/>
      </c>
      <c r="AS47" s="15" t="str">
        <f aca="false">IF(OR(C47&lt;&gt;"Closed",D47="",F47=""),"",IF(AS11&gt;D47,"",AR107*Loans!C7/12))</f>
        <v/>
      </c>
      <c r="AT47" s="15" t="str">
        <f aca="false">IF(OR(C47&lt;&gt;"Closed",D47="",F47=""),"",IF(AT11&gt;D47,"",AS107*Loans!C7/12))</f>
        <v/>
      </c>
      <c r="AU47" s="15" t="str">
        <f aca="false">IF(OR(C47&lt;&gt;"Closed",D47="",F47=""),"",IF(AU11&gt;D47,"",AT107*Loans!C7/12))</f>
        <v/>
      </c>
      <c r="AV47" s="15" t="str">
        <f aca="false">IF(OR(C47&lt;&gt;"Closed",D47="",F47=""),"",IF(AV11&gt;D47,"",AU107*Loans!C7/12))</f>
        <v/>
      </c>
      <c r="AW47" s="15" t="str">
        <f aca="false">IF(OR(C47&lt;&gt;"Closed",D47="",F47=""),"",IF(AW11&gt;D47,"",AV107*Loans!C7/12))</f>
        <v/>
      </c>
      <c r="AX47" s="15" t="str">
        <f aca="false">IF(OR(C47&lt;&gt;"Closed",D47="",F47=""),"",IF(AX11&gt;D47,"",AW107*Loans!C7/12))</f>
        <v/>
      </c>
      <c r="AY47" s="15" t="str">
        <f aca="false">IF(OR(C47&lt;&gt;"Closed",D47="",F47=""),"",IF(AY11&gt;D47,"",AX107*Loans!C7/12))</f>
        <v/>
      </c>
      <c r="AZ47" s="15" t="str">
        <f aca="false">IF(OR(C47&lt;&gt;"Closed",D47="",F47=""),"",IF(AZ11&gt;D47,"",AY107*Loans!C7/12))</f>
        <v/>
      </c>
      <c r="BA47" s="15" t="str">
        <f aca="false">IF(OR(C47&lt;&gt;"Closed",D47="",F47=""),"",IF(BA11&gt;D47,"",AZ107*Loans!C7/12))</f>
        <v/>
      </c>
      <c r="BB47" s="15" t="str">
        <f aca="false">IF(OR(C47&lt;&gt;"Closed",D47="",F47=""),"",IF(BB11&gt;D47,"",BA107*Loans!C7/12))</f>
        <v/>
      </c>
      <c r="BC47" s="15" t="str">
        <f aca="false">IF(OR(C47&lt;&gt;"Closed",D47="",F47=""),"",IF(BC11&gt;D47,"",BB107*Loans!C7/12))</f>
        <v/>
      </c>
      <c r="BD47" s="15" t="str">
        <f aca="false">IF(OR(C47&lt;&gt;"Closed",D47="",F47=""),"",IF(BD11&gt;D47,"",BC107*Loans!C7/12))</f>
        <v/>
      </c>
      <c r="BE47" s="15" t="str">
        <f aca="false">IF(OR(C47&lt;&gt;"Closed",D47="",F47=""),"",IF(BE11&gt;D47,"",BD107*Loans!C7/12))</f>
        <v/>
      </c>
      <c r="BF47" s="15" t="str">
        <f aca="false">IF(OR(C47&lt;&gt;"Closed",D47="",F47=""),"",IF(BF11&gt;D47,"",BE107*Loans!C7/12))</f>
        <v/>
      </c>
      <c r="BG47" s="15" t="str">
        <f aca="false">IF(OR(C47&lt;&gt;"Closed",D47="",F47=""),"",IF(BG11&gt;D47,"",BF107*Loans!C7/12))</f>
        <v/>
      </c>
      <c r="BH47" s="15" t="str">
        <f aca="false">IF(OR(C47&lt;&gt;"Closed",D47="",F47=""),"",IF(BH11&gt;D47,"",BG107*Loans!C7/12))</f>
        <v/>
      </c>
      <c r="BI47" s="15" t="str">
        <f aca="false">IF(OR(C47&lt;&gt;"Closed",D47="",F47=""),"",IF(BI11&gt;D47,"",BH107*Loans!C7/12))</f>
        <v/>
      </c>
      <c r="BJ47" s="15" t="str">
        <f aca="false">IF(OR(C47&lt;&gt;"Closed",D47="",F47=""),"",IF(BJ11&gt;D47,"",BI107*Loans!C7/12))</f>
        <v/>
      </c>
      <c r="BK47" s="15" t="str">
        <f aca="false">IF(OR(C47&lt;&gt;"Closed",D47="",F47=""),"",IF(BK11&gt;D47,"",BJ107*Loans!C7/12))</f>
        <v/>
      </c>
      <c r="BL47" s="15" t="str">
        <f aca="false">IF(OR(C47&lt;&gt;"Closed",D47="",F47=""),"",IF(BL11&gt;D47,"",BK107*Loans!C7/12))</f>
        <v/>
      </c>
      <c r="BM47" s="15" t="str">
        <f aca="false">IF(OR(C47&lt;&gt;"Closed",D47="",F47=""),"",IF(BM11&gt;D47,"",BL107*Loans!C7/12))</f>
        <v/>
      </c>
      <c r="BN47" s="15" t="str">
        <f aca="false">IF(OR(C47&lt;&gt;"Closed",D47="",F47=""),"",IF(BN11&gt;D47,"",BM107*Loans!C7/12))</f>
        <v/>
      </c>
      <c r="BO47" s="15" t="str">
        <f aca="false">IF(OR(C47&lt;&gt;"Closed",D47="",F47=""),"",IF(BO11&gt;D47,"",BN107*Loans!C7/12))</f>
        <v/>
      </c>
      <c r="BP47" s="15" t="str">
        <f aca="false">IF(OR(C47&lt;&gt;"Closed",D47="",F47=""),"",IF(BP11&gt;D47,"",BO107*Loans!C7/12))</f>
        <v/>
      </c>
    </row>
    <row r="48" customFormat="false" ht="15" hidden="false" customHeight="false" outlineLevel="0" collapsed="false">
      <c r="A48" s="29" t="str">
        <f aca="false">IF(Loans!A48="","",Loans!A48)</f>
        <v/>
      </c>
      <c r="B48" s="29" t="str">
        <f aca="false">IF(Loans!B48="","",Loans!B48)</f>
        <v/>
      </c>
      <c r="C48" s="29" t="str">
        <f aca="false">IF(Loans!C48="","",Loans!C48)</f>
        <v/>
      </c>
      <c r="D48" s="16" t="str">
        <f aca="false">IF(Loans!I48="","",Loans!I48)</f>
        <v/>
      </c>
      <c r="E48" s="17" t="str">
        <f aca="false">IF(Loans!E48="","",Loans!E48)</f>
        <v/>
      </c>
      <c r="F48" s="15" t="str">
        <f aca="false">IF(Loans!F48="","",Loans!F48)</f>
        <v/>
      </c>
      <c r="G48" s="15" t="str">
        <f aca="false">IF(OR(C48&lt;&gt;"Closed",D48="",F48=""),"",PMT(Loans!C7/12,D48,-F48))</f>
        <v/>
      </c>
      <c r="H48" s="15" t="str">
        <f aca="false">IF(C48&lt;&gt;"Closed","",SUM(I48:BP48))</f>
        <v/>
      </c>
      <c r="I48" s="15" t="str">
        <f aca="false">IF(OR(C48&lt;&gt;"Closed",D48="",F48=""),"",IF(I11&gt;D48,"",F48*Loans!C7/12))</f>
        <v/>
      </c>
      <c r="J48" s="15" t="str">
        <f aca="false">IF(OR(C48&lt;&gt;"Closed",D48="",F48=""),"",IF(J11&gt;D48,"",I108*Loans!C7/12))</f>
        <v/>
      </c>
      <c r="K48" s="15" t="str">
        <f aca="false">IF(OR(C48&lt;&gt;"Closed",D48="",F48=""),"",IF(K11&gt;D48,"",J108*Loans!C7/12))</f>
        <v/>
      </c>
      <c r="L48" s="15" t="str">
        <f aca="false">IF(OR(C48&lt;&gt;"Closed",D48="",F48=""),"",IF(L11&gt;D48,"",K108*Loans!C7/12))</f>
        <v/>
      </c>
      <c r="M48" s="15" t="str">
        <f aca="false">IF(OR(C48&lt;&gt;"Closed",D48="",F48=""),"",IF(M11&gt;D48,"",L108*Loans!C7/12))</f>
        <v/>
      </c>
      <c r="N48" s="15" t="str">
        <f aca="false">IF(OR(C48&lt;&gt;"Closed",D48="",F48=""),"",IF(N11&gt;D48,"",M108*Loans!C7/12))</f>
        <v/>
      </c>
      <c r="O48" s="15" t="str">
        <f aca="false">IF(OR(C48&lt;&gt;"Closed",D48="",F48=""),"",IF(O11&gt;D48,"",N108*Loans!C7/12))</f>
        <v/>
      </c>
      <c r="P48" s="15" t="str">
        <f aca="false">IF(OR(C48&lt;&gt;"Closed",D48="",F48=""),"",IF(P11&gt;D48,"",O108*Loans!C7/12))</f>
        <v/>
      </c>
      <c r="Q48" s="15" t="str">
        <f aca="false">IF(OR(C48&lt;&gt;"Closed",D48="",F48=""),"",IF(Q11&gt;D48,"",P108*Loans!C7/12))</f>
        <v/>
      </c>
      <c r="R48" s="15" t="str">
        <f aca="false">IF(OR(C48&lt;&gt;"Closed",D48="",F48=""),"",IF(R11&gt;D48,"",Q108*Loans!C7/12))</f>
        <v/>
      </c>
      <c r="S48" s="15" t="str">
        <f aca="false">IF(OR(C48&lt;&gt;"Closed",D48="",F48=""),"",IF(S11&gt;D48,"",R108*Loans!C7/12))</f>
        <v/>
      </c>
      <c r="T48" s="15" t="str">
        <f aca="false">IF(OR(C48&lt;&gt;"Closed",D48="",F48=""),"",IF(T11&gt;D48,"",S108*Loans!C7/12))</f>
        <v/>
      </c>
      <c r="U48" s="15" t="str">
        <f aca="false">IF(OR(C48&lt;&gt;"Closed",D48="",F48=""),"",IF(U11&gt;D48,"",T108*Loans!C7/12))</f>
        <v/>
      </c>
      <c r="V48" s="15" t="str">
        <f aca="false">IF(OR(C48&lt;&gt;"Closed",D48="",F48=""),"",IF(V11&gt;D48,"",U108*Loans!C7/12))</f>
        <v/>
      </c>
      <c r="W48" s="15" t="str">
        <f aca="false">IF(OR(C48&lt;&gt;"Closed",D48="",F48=""),"",IF(W11&gt;D48,"",V108*Loans!C7/12))</f>
        <v/>
      </c>
      <c r="X48" s="15" t="str">
        <f aca="false">IF(OR(C48&lt;&gt;"Closed",D48="",F48=""),"",IF(X11&gt;D48,"",W108*Loans!C7/12))</f>
        <v/>
      </c>
      <c r="Y48" s="15" t="str">
        <f aca="false">IF(OR(C48&lt;&gt;"Closed",D48="",F48=""),"",IF(Y11&gt;D48,"",X108*Loans!C7/12))</f>
        <v/>
      </c>
      <c r="Z48" s="15" t="str">
        <f aca="false">IF(OR(C48&lt;&gt;"Closed",D48="",F48=""),"",IF(Z11&gt;D48,"",Y108*Loans!C7/12))</f>
        <v/>
      </c>
      <c r="AA48" s="15" t="str">
        <f aca="false">IF(OR(C48&lt;&gt;"Closed",D48="",F48=""),"",IF(AA11&gt;D48,"",Z108*Loans!C7/12))</f>
        <v/>
      </c>
      <c r="AB48" s="15" t="str">
        <f aca="false">IF(OR(C48&lt;&gt;"Closed",D48="",F48=""),"",IF(AB11&gt;D48,"",AA108*Loans!C7/12))</f>
        <v/>
      </c>
      <c r="AC48" s="15" t="str">
        <f aca="false">IF(OR(C48&lt;&gt;"Closed",D48="",F48=""),"",IF(AC11&gt;D48,"",AB108*Loans!C7/12))</f>
        <v/>
      </c>
      <c r="AD48" s="15" t="str">
        <f aca="false">IF(OR(C48&lt;&gt;"Closed",D48="",F48=""),"",IF(AD11&gt;D48,"",AC108*Loans!C7/12))</f>
        <v/>
      </c>
      <c r="AE48" s="15" t="str">
        <f aca="false">IF(OR(C48&lt;&gt;"Closed",D48="",F48=""),"",IF(AE11&gt;D48,"",AD108*Loans!C7/12))</f>
        <v/>
      </c>
      <c r="AF48" s="15" t="str">
        <f aca="false">IF(OR(C48&lt;&gt;"Closed",D48="",F48=""),"",IF(AF11&gt;D48,"",AE108*Loans!C7/12))</f>
        <v/>
      </c>
      <c r="AG48" s="15" t="str">
        <f aca="false">IF(OR(C48&lt;&gt;"Closed",D48="",F48=""),"",IF(AG11&gt;D48,"",AF108*Loans!C7/12))</f>
        <v/>
      </c>
      <c r="AH48" s="15" t="str">
        <f aca="false">IF(OR(C48&lt;&gt;"Closed",D48="",F48=""),"",IF(AH11&gt;D48,"",AG108*Loans!C7/12))</f>
        <v/>
      </c>
      <c r="AI48" s="15" t="str">
        <f aca="false">IF(OR(C48&lt;&gt;"Closed",D48="",F48=""),"",IF(AI11&gt;D48,"",AH108*Loans!C7/12))</f>
        <v/>
      </c>
      <c r="AJ48" s="15" t="str">
        <f aca="false">IF(OR(C48&lt;&gt;"Closed",D48="",F48=""),"",IF(AJ11&gt;D48,"",AI108*Loans!C7/12))</f>
        <v/>
      </c>
      <c r="AK48" s="15" t="str">
        <f aca="false">IF(OR(C48&lt;&gt;"Closed",D48="",F48=""),"",IF(AK11&gt;D48,"",AJ108*Loans!C7/12))</f>
        <v/>
      </c>
      <c r="AL48" s="15" t="str">
        <f aca="false">IF(OR(C48&lt;&gt;"Closed",D48="",F48=""),"",IF(AL11&gt;D48,"",AK108*Loans!C7/12))</f>
        <v/>
      </c>
      <c r="AM48" s="15" t="str">
        <f aca="false">IF(OR(C48&lt;&gt;"Closed",D48="",F48=""),"",IF(AM11&gt;D48,"",AL108*Loans!C7/12))</f>
        <v/>
      </c>
      <c r="AN48" s="15" t="str">
        <f aca="false">IF(OR(C48&lt;&gt;"Closed",D48="",F48=""),"",IF(AN11&gt;D48,"",AM108*Loans!C7/12))</f>
        <v/>
      </c>
      <c r="AO48" s="15" t="str">
        <f aca="false">IF(OR(C48&lt;&gt;"Closed",D48="",F48=""),"",IF(AO11&gt;D48,"",AN108*Loans!C7/12))</f>
        <v/>
      </c>
      <c r="AP48" s="15" t="str">
        <f aca="false">IF(OR(C48&lt;&gt;"Closed",D48="",F48=""),"",IF(AP11&gt;D48,"",AO108*Loans!C7/12))</f>
        <v/>
      </c>
      <c r="AQ48" s="15" t="str">
        <f aca="false">IF(OR(C48&lt;&gt;"Closed",D48="",F48=""),"",IF(AQ11&gt;D48,"",AP108*Loans!C7/12))</f>
        <v/>
      </c>
      <c r="AR48" s="15" t="str">
        <f aca="false">IF(OR(C48&lt;&gt;"Closed",D48="",F48=""),"",IF(AR11&gt;D48,"",AQ108*Loans!C7/12))</f>
        <v/>
      </c>
      <c r="AS48" s="15" t="str">
        <f aca="false">IF(OR(C48&lt;&gt;"Closed",D48="",F48=""),"",IF(AS11&gt;D48,"",AR108*Loans!C7/12))</f>
        <v/>
      </c>
      <c r="AT48" s="15" t="str">
        <f aca="false">IF(OR(C48&lt;&gt;"Closed",D48="",F48=""),"",IF(AT11&gt;D48,"",AS108*Loans!C7/12))</f>
        <v/>
      </c>
      <c r="AU48" s="15" t="str">
        <f aca="false">IF(OR(C48&lt;&gt;"Closed",D48="",F48=""),"",IF(AU11&gt;D48,"",AT108*Loans!C7/12))</f>
        <v/>
      </c>
      <c r="AV48" s="15" t="str">
        <f aca="false">IF(OR(C48&lt;&gt;"Closed",D48="",F48=""),"",IF(AV11&gt;D48,"",AU108*Loans!C7/12))</f>
        <v/>
      </c>
      <c r="AW48" s="15" t="str">
        <f aca="false">IF(OR(C48&lt;&gt;"Closed",D48="",F48=""),"",IF(AW11&gt;D48,"",AV108*Loans!C7/12))</f>
        <v/>
      </c>
      <c r="AX48" s="15" t="str">
        <f aca="false">IF(OR(C48&lt;&gt;"Closed",D48="",F48=""),"",IF(AX11&gt;D48,"",AW108*Loans!C7/12))</f>
        <v/>
      </c>
      <c r="AY48" s="15" t="str">
        <f aca="false">IF(OR(C48&lt;&gt;"Closed",D48="",F48=""),"",IF(AY11&gt;D48,"",AX108*Loans!C7/12))</f>
        <v/>
      </c>
      <c r="AZ48" s="15" t="str">
        <f aca="false">IF(OR(C48&lt;&gt;"Closed",D48="",F48=""),"",IF(AZ11&gt;D48,"",AY108*Loans!C7/12))</f>
        <v/>
      </c>
      <c r="BA48" s="15" t="str">
        <f aca="false">IF(OR(C48&lt;&gt;"Closed",D48="",F48=""),"",IF(BA11&gt;D48,"",AZ108*Loans!C7/12))</f>
        <v/>
      </c>
      <c r="BB48" s="15" t="str">
        <f aca="false">IF(OR(C48&lt;&gt;"Closed",D48="",F48=""),"",IF(BB11&gt;D48,"",BA108*Loans!C7/12))</f>
        <v/>
      </c>
      <c r="BC48" s="15" t="str">
        <f aca="false">IF(OR(C48&lt;&gt;"Closed",D48="",F48=""),"",IF(BC11&gt;D48,"",BB108*Loans!C7/12))</f>
        <v/>
      </c>
      <c r="BD48" s="15" t="str">
        <f aca="false">IF(OR(C48&lt;&gt;"Closed",D48="",F48=""),"",IF(BD11&gt;D48,"",BC108*Loans!C7/12))</f>
        <v/>
      </c>
      <c r="BE48" s="15" t="str">
        <f aca="false">IF(OR(C48&lt;&gt;"Closed",D48="",F48=""),"",IF(BE11&gt;D48,"",BD108*Loans!C7/12))</f>
        <v/>
      </c>
      <c r="BF48" s="15" t="str">
        <f aca="false">IF(OR(C48&lt;&gt;"Closed",D48="",F48=""),"",IF(BF11&gt;D48,"",BE108*Loans!C7/12))</f>
        <v/>
      </c>
      <c r="BG48" s="15" t="str">
        <f aca="false">IF(OR(C48&lt;&gt;"Closed",D48="",F48=""),"",IF(BG11&gt;D48,"",BF108*Loans!C7/12))</f>
        <v/>
      </c>
      <c r="BH48" s="15" t="str">
        <f aca="false">IF(OR(C48&lt;&gt;"Closed",D48="",F48=""),"",IF(BH11&gt;D48,"",BG108*Loans!C7/12))</f>
        <v/>
      </c>
      <c r="BI48" s="15" t="str">
        <f aca="false">IF(OR(C48&lt;&gt;"Closed",D48="",F48=""),"",IF(BI11&gt;D48,"",BH108*Loans!C7/12))</f>
        <v/>
      </c>
      <c r="BJ48" s="15" t="str">
        <f aca="false">IF(OR(C48&lt;&gt;"Closed",D48="",F48=""),"",IF(BJ11&gt;D48,"",BI108*Loans!C7/12))</f>
        <v/>
      </c>
      <c r="BK48" s="15" t="str">
        <f aca="false">IF(OR(C48&lt;&gt;"Closed",D48="",F48=""),"",IF(BK11&gt;D48,"",BJ108*Loans!C7/12))</f>
        <v/>
      </c>
      <c r="BL48" s="15" t="str">
        <f aca="false">IF(OR(C48&lt;&gt;"Closed",D48="",F48=""),"",IF(BL11&gt;D48,"",BK108*Loans!C7/12))</f>
        <v/>
      </c>
      <c r="BM48" s="15" t="str">
        <f aca="false">IF(OR(C48&lt;&gt;"Closed",D48="",F48=""),"",IF(BM11&gt;D48,"",BL108*Loans!C7/12))</f>
        <v/>
      </c>
      <c r="BN48" s="15" t="str">
        <f aca="false">IF(OR(C48&lt;&gt;"Closed",D48="",F48=""),"",IF(BN11&gt;D48,"",BM108*Loans!C7/12))</f>
        <v/>
      </c>
      <c r="BO48" s="15" t="str">
        <f aca="false">IF(OR(C48&lt;&gt;"Closed",D48="",F48=""),"",IF(BO11&gt;D48,"",BN108*Loans!C7/12))</f>
        <v/>
      </c>
      <c r="BP48" s="15" t="str">
        <f aca="false">IF(OR(C48&lt;&gt;"Closed",D48="",F48=""),"",IF(BP11&gt;D48,"",BO108*Loans!C7/12))</f>
        <v/>
      </c>
    </row>
    <row r="49" customFormat="false" ht="15" hidden="false" customHeight="false" outlineLevel="0" collapsed="false">
      <c r="A49" s="29" t="str">
        <f aca="false">IF(Loans!A49="","",Loans!A49)</f>
        <v/>
      </c>
      <c r="B49" s="29" t="str">
        <f aca="false">IF(Loans!B49="","",Loans!B49)</f>
        <v/>
      </c>
      <c r="C49" s="29" t="str">
        <f aca="false">IF(Loans!C49="","",Loans!C49)</f>
        <v/>
      </c>
      <c r="D49" s="16" t="str">
        <f aca="false">IF(Loans!I49="","",Loans!I49)</f>
        <v/>
      </c>
      <c r="E49" s="17" t="str">
        <f aca="false">IF(Loans!E49="","",Loans!E49)</f>
        <v/>
      </c>
      <c r="F49" s="15" t="str">
        <f aca="false">IF(Loans!F49="","",Loans!F49)</f>
        <v/>
      </c>
      <c r="G49" s="15" t="str">
        <f aca="false">IF(OR(C49&lt;&gt;"Closed",D49="",F49=""),"",PMT(Loans!C7/12,D49,-F49))</f>
        <v/>
      </c>
      <c r="H49" s="15" t="str">
        <f aca="false">IF(C49&lt;&gt;"Closed","",SUM(I49:BP49))</f>
        <v/>
      </c>
      <c r="I49" s="15" t="str">
        <f aca="false">IF(OR(C49&lt;&gt;"Closed",D49="",F49=""),"",IF(I11&gt;D49,"",F49*Loans!C7/12))</f>
        <v/>
      </c>
      <c r="J49" s="15" t="str">
        <f aca="false">IF(OR(C49&lt;&gt;"Closed",D49="",F49=""),"",IF(J11&gt;D49,"",I109*Loans!C7/12))</f>
        <v/>
      </c>
      <c r="K49" s="15" t="str">
        <f aca="false">IF(OR(C49&lt;&gt;"Closed",D49="",F49=""),"",IF(K11&gt;D49,"",J109*Loans!C7/12))</f>
        <v/>
      </c>
      <c r="L49" s="15" t="str">
        <f aca="false">IF(OR(C49&lt;&gt;"Closed",D49="",F49=""),"",IF(L11&gt;D49,"",K109*Loans!C7/12))</f>
        <v/>
      </c>
      <c r="M49" s="15" t="str">
        <f aca="false">IF(OR(C49&lt;&gt;"Closed",D49="",F49=""),"",IF(M11&gt;D49,"",L109*Loans!C7/12))</f>
        <v/>
      </c>
      <c r="N49" s="15" t="str">
        <f aca="false">IF(OR(C49&lt;&gt;"Closed",D49="",F49=""),"",IF(N11&gt;D49,"",M109*Loans!C7/12))</f>
        <v/>
      </c>
      <c r="O49" s="15" t="str">
        <f aca="false">IF(OR(C49&lt;&gt;"Closed",D49="",F49=""),"",IF(O11&gt;D49,"",N109*Loans!C7/12))</f>
        <v/>
      </c>
      <c r="P49" s="15" t="str">
        <f aca="false">IF(OR(C49&lt;&gt;"Closed",D49="",F49=""),"",IF(P11&gt;D49,"",O109*Loans!C7/12))</f>
        <v/>
      </c>
      <c r="Q49" s="15" t="str">
        <f aca="false">IF(OR(C49&lt;&gt;"Closed",D49="",F49=""),"",IF(Q11&gt;D49,"",P109*Loans!C7/12))</f>
        <v/>
      </c>
      <c r="R49" s="15" t="str">
        <f aca="false">IF(OR(C49&lt;&gt;"Closed",D49="",F49=""),"",IF(R11&gt;D49,"",Q109*Loans!C7/12))</f>
        <v/>
      </c>
      <c r="S49" s="15" t="str">
        <f aca="false">IF(OR(C49&lt;&gt;"Closed",D49="",F49=""),"",IF(S11&gt;D49,"",R109*Loans!C7/12))</f>
        <v/>
      </c>
      <c r="T49" s="15" t="str">
        <f aca="false">IF(OR(C49&lt;&gt;"Closed",D49="",F49=""),"",IF(T11&gt;D49,"",S109*Loans!C7/12))</f>
        <v/>
      </c>
      <c r="U49" s="15" t="str">
        <f aca="false">IF(OR(C49&lt;&gt;"Closed",D49="",F49=""),"",IF(U11&gt;D49,"",T109*Loans!C7/12))</f>
        <v/>
      </c>
      <c r="V49" s="15" t="str">
        <f aca="false">IF(OR(C49&lt;&gt;"Closed",D49="",F49=""),"",IF(V11&gt;D49,"",U109*Loans!C7/12))</f>
        <v/>
      </c>
      <c r="W49" s="15" t="str">
        <f aca="false">IF(OR(C49&lt;&gt;"Closed",D49="",F49=""),"",IF(W11&gt;D49,"",V109*Loans!C7/12))</f>
        <v/>
      </c>
      <c r="X49" s="15" t="str">
        <f aca="false">IF(OR(C49&lt;&gt;"Closed",D49="",F49=""),"",IF(X11&gt;D49,"",W109*Loans!C7/12))</f>
        <v/>
      </c>
      <c r="Y49" s="15" t="str">
        <f aca="false">IF(OR(C49&lt;&gt;"Closed",D49="",F49=""),"",IF(Y11&gt;D49,"",X109*Loans!C7/12))</f>
        <v/>
      </c>
      <c r="Z49" s="15" t="str">
        <f aca="false">IF(OR(C49&lt;&gt;"Closed",D49="",F49=""),"",IF(Z11&gt;D49,"",Y109*Loans!C7/12))</f>
        <v/>
      </c>
      <c r="AA49" s="15" t="str">
        <f aca="false">IF(OR(C49&lt;&gt;"Closed",D49="",F49=""),"",IF(AA11&gt;D49,"",Z109*Loans!C7/12))</f>
        <v/>
      </c>
      <c r="AB49" s="15" t="str">
        <f aca="false">IF(OR(C49&lt;&gt;"Closed",D49="",F49=""),"",IF(AB11&gt;D49,"",AA109*Loans!C7/12))</f>
        <v/>
      </c>
      <c r="AC49" s="15" t="str">
        <f aca="false">IF(OR(C49&lt;&gt;"Closed",D49="",F49=""),"",IF(AC11&gt;D49,"",AB109*Loans!C7/12))</f>
        <v/>
      </c>
      <c r="AD49" s="15" t="str">
        <f aca="false">IF(OR(C49&lt;&gt;"Closed",D49="",F49=""),"",IF(AD11&gt;D49,"",AC109*Loans!C7/12))</f>
        <v/>
      </c>
      <c r="AE49" s="15" t="str">
        <f aca="false">IF(OR(C49&lt;&gt;"Closed",D49="",F49=""),"",IF(AE11&gt;D49,"",AD109*Loans!C7/12))</f>
        <v/>
      </c>
      <c r="AF49" s="15" t="str">
        <f aca="false">IF(OR(C49&lt;&gt;"Closed",D49="",F49=""),"",IF(AF11&gt;D49,"",AE109*Loans!C7/12))</f>
        <v/>
      </c>
      <c r="AG49" s="15" t="str">
        <f aca="false">IF(OR(C49&lt;&gt;"Closed",D49="",F49=""),"",IF(AG11&gt;D49,"",AF109*Loans!C7/12))</f>
        <v/>
      </c>
      <c r="AH49" s="15" t="str">
        <f aca="false">IF(OR(C49&lt;&gt;"Closed",D49="",F49=""),"",IF(AH11&gt;D49,"",AG109*Loans!C7/12))</f>
        <v/>
      </c>
      <c r="AI49" s="15" t="str">
        <f aca="false">IF(OR(C49&lt;&gt;"Closed",D49="",F49=""),"",IF(AI11&gt;D49,"",AH109*Loans!C7/12))</f>
        <v/>
      </c>
      <c r="AJ49" s="15" t="str">
        <f aca="false">IF(OR(C49&lt;&gt;"Closed",D49="",F49=""),"",IF(AJ11&gt;D49,"",AI109*Loans!C7/12))</f>
        <v/>
      </c>
      <c r="AK49" s="15" t="str">
        <f aca="false">IF(OR(C49&lt;&gt;"Closed",D49="",F49=""),"",IF(AK11&gt;D49,"",AJ109*Loans!C7/12))</f>
        <v/>
      </c>
      <c r="AL49" s="15" t="str">
        <f aca="false">IF(OR(C49&lt;&gt;"Closed",D49="",F49=""),"",IF(AL11&gt;D49,"",AK109*Loans!C7/12))</f>
        <v/>
      </c>
      <c r="AM49" s="15" t="str">
        <f aca="false">IF(OR(C49&lt;&gt;"Closed",D49="",F49=""),"",IF(AM11&gt;D49,"",AL109*Loans!C7/12))</f>
        <v/>
      </c>
      <c r="AN49" s="15" t="str">
        <f aca="false">IF(OR(C49&lt;&gt;"Closed",D49="",F49=""),"",IF(AN11&gt;D49,"",AM109*Loans!C7/12))</f>
        <v/>
      </c>
      <c r="AO49" s="15" t="str">
        <f aca="false">IF(OR(C49&lt;&gt;"Closed",D49="",F49=""),"",IF(AO11&gt;D49,"",AN109*Loans!C7/12))</f>
        <v/>
      </c>
      <c r="AP49" s="15" t="str">
        <f aca="false">IF(OR(C49&lt;&gt;"Closed",D49="",F49=""),"",IF(AP11&gt;D49,"",AO109*Loans!C7/12))</f>
        <v/>
      </c>
      <c r="AQ49" s="15" t="str">
        <f aca="false">IF(OR(C49&lt;&gt;"Closed",D49="",F49=""),"",IF(AQ11&gt;D49,"",AP109*Loans!C7/12))</f>
        <v/>
      </c>
      <c r="AR49" s="15" t="str">
        <f aca="false">IF(OR(C49&lt;&gt;"Closed",D49="",F49=""),"",IF(AR11&gt;D49,"",AQ109*Loans!C7/12))</f>
        <v/>
      </c>
      <c r="AS49" s="15" t="str">
        <f aca="false">IF(OR(C49&lt;&gt;"Closed",D49="",F49=""),"",IF(AS11&gt;D49,"",AR109*Loans!C7/12))</f>
        <v/>
      </c>
      <c r="AT49" s="15" t="str">
        <f aca="false">IF(OR(C49&lt;&gt;"Closed",D49="",F49=""),"",IF(AT11&gt;D49,"",AS109*Loans!C7/12))</f>
        <v/>
      </c>
      <c r="AU49" s="15" t="str">
        <f aca="false">IF(OR(C49&lt;&gt;"Closed",D49="",F49=""),"",IF(AU11&gt;D49,"",AT109*Loans!C7/12))</f>
        <v/>
      </c>
      <c r="AV49" s="15" t="str">
        <f aca="false">IF(OR(C49&lt;&gt;"Closed",D49="",F49=""),"",IF(AV11&gt;D49,"",AU109*Loans!C7/12))</f>
        <v/>
      </c>
      <c r="AW49" s="15" t="str">
        <f aca="false">IF(OR(C49&lt;&gt;"Closed",D49="",F49=""),"",IF(AW11&gt;D49,"",AV109*Loans!C7/12))</f>
        <v/>
      </c>
      <c r="AX49" s="15" t="str">
        <f aca="false">IF(OR(C49&lt;&gt;"Closed",D49="",F49=""),"",IF(AX11&gt;D49,"",AW109*Loans!C7/12))</f>
        <v/>
      </c>
      <c r="AY49" s="15" t="str">
        <f aca="false">IF(OR(C49&lt;&gt;"Closed",D49="",F49=""),"",IF(AY11&gt;D49,"",AX109*Loans!C7/12))</f>
        <v/>
      </c>
      <c r="AZ49" s="15" t="str">
        <f aca="false">IF(OR(C49&lt;&gt;"Closed",D49="",F49=""),"",IF(AZ11&gt;D49,"",AY109*Loans!C7/12))</f>
        <v/>
      </c>
      <c r="BA49" s="15" t="str">
        <f aca="false">IF(OR(C49&lt;&gt;"Closed",D49="",F49=""),"",IF(BA11&gt;D49,"",AZ109*Loans!C7/12))</f>
        <v/>
      </c>
      <c r="BB49" s="15" t="str">
        <f aca="false">IF(OR(C49&lt;&gt;"Closed",D49="",F49=""),"",IF(BB11&gt;D49,"",BA109*Loans!C7/12))</f>
        <v/>
      </c>
      <c r="BC49" s="15" t="str">
        <f aca="false">IF(OR(C49&lt;&gt;"Closed",D49="",F49=""),"",IF(BC11&gt;D49,"",BB109*Loans!C7/12))</f>
        <v/>
      </c>
      <c r="BD49" s="15" t="str">
        <f aca="false">IF(OR(C49&lt;&gt;"Closed",D49="",F49=""),"",IF(BD11&gt;D49,"",BC109*Loans!C7/12))</f>
        <v/>
      </c>
      <c r="BE49" s="15" t="str">
        <f aca="false">IF(OR(C49&lt;&gt;"Closed",D49="",F49=""),"",IF(BE11&gt;D49,"",BD109*Loans!C7/12))</f>
        <v/>
      </c>
      <c r="BF49" s="15" t="str">
        <f aca="false">IF(OR(C49&lt;&gt;"Closed",D49="",F49=""),"",IF(BF11&gt;D49,"",BE109*Loans!C7/12))</f>
        <v/>
      </c>
      <c r="BG49" s="15" t="str">
        <f aca="false">IF(OR(C49&lt;&gt;"Closed",D49="",F49=""),"",IF(BG11&gt;D49,"",BF109*Loans!C7/12))</f>
        <v/>
      </c>
      <c r="BH49" s="15" t="str">
        <f aca="false">IF(OR(C49&lt;&gt;"Closed",D49="",F49=""),"",IF(BH11&gt;D49,"",BG109*Loans!C7/12))</f>
        <v/>
      </c>
      <c r="BI49" s="15" t="str">
        <f aca="false">IF(OR(C49&lt;&gt;"Closed",D49="",F49=""),"",IF(BI11&gt;D49,"",BH109*Loans!C7/12))</f>
        <v/>
      </c>
      <c r="BJ49" s="15" t="str">
        <f aca="false">IF(OR(C49&lt;&gt;"Closed",D49="",F49=""),"",IF(BJ11&gt;D49,"",BI109*Loans!C7/12))</f>
        <v/>
      </c>
      <c r="BK49" s="15" t="str">
        <f aca="false">IF(OR(C49&lt;&gt;"Closed",D49="",F49=""),"",IF(BK11&gt;D49,"",BJ109*Loans!C7/12))</f>
        <v/>
      </c>
      <c r="BL49" s="15" t="str">
        <f aca="false">IF(OR(C49&lt;&gt;"Closed",D49="",F49=""),"",IF(BL11&gt;D49,"",BK109*Loans!C7/12))</f>
        <v/>
      </c>
      <c r="BM49" s="15" t="str">
        <f aca="false">IF(OR(C49&lt;&gt;"Closed",D49="",F49=""),"",IF(BM11&gt;D49,"",BL109*Loans!C7/12))</f>
        <v/>
      </c>
      <c r="BN49" s="15" t="str">
        <f aca="false">IF(OR(C49&lt;&gt;"Closed",D49="",F49=""),"",IF(BN11&gt;D49,"",BM109*Loans!C7/12))</f>
        <v/>
      </c>
      <c r="BO49" s="15" t="str">
        <f aca="false">IF(OR(C49&lt;&gt;"Closed",D49="",F49=""),"",IF(BO11&gt;D49,"",BN109*Loans!C7/12))</f>
        <v/>
      </c>
      <c r="BP49" s="15" t="str">
        <f aca="false">IF(OR(C49&lt;&gt;"Closed",D49="",F49=""),"",IF(BP11&gt;D49,"",BO109*Loans!C7/12))</f>
        <v/>
      </c>
    </row>
    <row r="50" customFormat="false" ht="15" hidden="false" customHeight="false" outlineLevel="0" collapsed="false">
      <c r="A50" s="29" t="str">
        <f aca="false">IF(Loans!A50="","",Loans!A50)</f>
        <v/>
      </c>
      <c r="B50" s="29" t="str">
        <f aca="false">IF(Loans!B50="","",Loans!B50)</f>
        <v/>
      </c>
      <c r="C50" s="29" t="str">
        <f aca="false">IF(Loans!C50="","",Loans!C50)</f>
        <v/>
      </c>
      <c r="D50" s="16" t="str">
        <f aca="false">IF(Loans!I50="","",Loans!I50)</f>
        <v/>
      </c>
      <c r="E50" s="17" t="str">
        <f aca="false">IF(Loans!E50="","",Loans!E50)</f>
        <v/>
      </c>
      <c r="F50" s="15" t="str">
        <f aca="false">IF(Loans!F50="","",Loans!F50)</f>
        <v/>
      </c>
      <c r="G50" s="15" t="str">
        <f aca="false">IF(OR(C50&lt;&gt;"Closed",D50="",F50=""),"",PMT(Loans!C7/12,D50,-F50))</f>
        <v/>
      </c>
      <c r="H50" s="15" t="str">
        <f aca="false">IF(C50&lt;&gt;"Closed","",SUM(I50:BP50))</f>
        <v/>
      </c>
      <c r="I50" s="15" t="str">
        <f aca="false">IF(OR(C50&lt;&gt;"Closed",D50="",F50=""),"",IF(I11&gt;D50,"",F50*Loans!C7/12))</f>
        <v/>
      </c>
      <c r="J50" s="15" t="str">
        <f aca="false">IF(OR(C50&lt;&gt;"Closed",D50="",F50=""),"",IF(J11&gt;D50,"",I110*Loans!C7/12))</f>
        <v/>
      </c>
      <c r="K50" s="15" t="str">
        <f aca="false">IF(OR(C50&lt;&gt;"Closed",D50="",F50=""),"",IF(K11&gt;D50,"",J110*Loans!C7/12))</f>
        <v/>
      </c>
      <c r="L50" s="15" t="str">
        <f aca="false">IF(OR(C50&lt;&gt;"Closed",D50="",F50=""),"",IF(L11&gt;D50,"",K110*Loans!C7/12))</f>
        <v/>
      </c>
      <c r="M50" s="15" t="str">
        <f aca="false">IF(OR(C50&lt;&gt;"Closed",D50="",F50=""),"",IF(M11&gt;D50,"",L110*Loans!C7/12))</f>
        <v/>
      </c>
      <c r="N50" s="15" t="str">
        <f aca="false">IF(OR(C50&lt;&gt;"Closed",D50="",F50=""),"",IF(N11&gt;D50,"",M110*Loans!C7/12))</f>
        <v/>
      </c>
      <c r="O50" s="15" t="str">
        <f aca="false">IF(OR(C50&lt;&gt;"Closed",D50="",F50=""),"",IF(O11&gt;D50,"",N110*Loans!C7/12))</f>
        <v/>
      </c>
      <c r="P50" s="15" t="str">
        <f aca="false">IF(OR(C50&lt;&gt;"Closed",D50="",F50=""),"",IF(P11&gt;D50,"",O110*Loans!C7/12))</f>
        <v/>
      </c>
      <c r="Q50" s="15" t="str">
        <f aca="false">IF(OR(C50&lt;&gt;"Closed",D50="",F50=""),"",IF(Q11&gt;D50,"",P110*Loans!C7/12))</f>
        <v/>
      </c>
      <c r="R50" s="15" t="str">
        <f aca="false">IF(OR(C50&lt;&gt;"Closed",D50="",F50=""),"",IF(R11&gt;D50,"",Q110*Loans!C7/12))</f>
        <v/>
      </c>
      <c r="S50" s="15" t="str">
        <f aca="false">IF(OR(C50&lt;&gt;"Closed",D50="",F50=""),"",IF(S11&gt;D50,"",R110*Loans!C7/12))</f>
        <v/>
      </c>
      <c r="T50" s="15" t="str">
        <f aca="false">IF(OR(C50&lt;&gt;"Closed",D50="",F50=""),"",IF(T11&gt;D50,"",S110*Loans!C7/12))</f>
        <v/>
      </c>
      <c r="U50" s="15" t="str">
        <f aca="false">IF(OR(C50&lt;&gt;"Closed",D50="",F50=""),"",IF(U11&gt;D50,"",T110*Loans!C7/12))</f>
        <v/>
      </c>
      <c r="V50" s="15" t="str">
        <f aca="false">IF(OR(C50&lt;&gt;"Closed",D50="",F50=""),"",IF(V11&gt;D50,"",U110*Loans!C7/12))</f>
        <v/>
      </c>
      <c r="W50" s="15" t="str">
        <f aca="false">IF(OR(C50&lt;&gt;"Closed",D50="",F50=""),"",IF(W11&gt;D50,"",V110*Loans!C7/12))</f>
        <v/>
      </c>
      <c r="X50" s="15" t="str">
        <f aca="false">IF(OR(C50&lt;&gt;"Closed",D50="",F50=""),"",IF(X11&gt;D50,"",W110*Loans!C7/12))</f>
        <v/>
      </c>
      <c r="Y50" s="15" t="str">
        <f aca="false">IF(OR(C50&lt;&gt;"Closed",D50="",F50=""),"",IF(Y11&gt;D50,"",X110*Loans!C7/12))</f>
        <v/>
      </c>
      <c r="Z50" s="15" t="str">
        <f aca="false">IF(OR(C50&lt;&gt;"Closed",D50="",F50=""),"",IF(Z11&gt;D50,"",Y110*Loans!C7/12))</f>
        <v/>
      </c>
      <c r="AA50" s="15" t="str">
        <f aca="false">IF(OR(C50&lt;&gt;"Closed",D50="",F50=""),"",IF(AA11&gt;D50,"",Z110*Loans!C7/12))</f>
        <v/>
      </c>
      <c r="AB50" s="15" t="str">
        <f aca="false">IF(OR(C50&lt;&gt;"Closed",D50="",F50=""),"",IF(AB11&gt;D50,"",AA110*Loans!C7/12))</f>
        <v/>
      </c>
      <c r="AC50" s="15" t="str">
        <f aca="false">IF(OR(C50&lt;&gt;"Closed",D50="",F50=""),"",IF(AC11&gt;D50,"",AB110*Loans!C7/12))</f>
        <v/>
      </c>
      <c r="AD50" s="15" t="str">
        <f aca="false">IF(OR(C50&lt;&gt;"Closed",D50="",F50=""),"",IF(AD11&gt;D50,"",AC110*Loans!C7/12))</f>
        <v/>
      </c>
      <c r="AE50" s="15" t="str">
        <f aca="false">IF(OR(C50&lt;&gt;"Closed",D50="",F50=""),"",IF(AE11&gt;D50,"",AD110*Loans!C7/12))</f>
        <v/>
      </c>
      <c r="AF50" s="15" t="str">
        <f aca="false">IF(OR(C50&lt;&gt;"Closed",D50="",F50=""),"",IF(AF11&gt;D50,"",AE110*Loans!C7/12))</f>
        <v/>
      </c>
      <c r="AG50" s="15" t="str">
        <f aca="false">IF(OR(C50&lt;&gt;"Closed",D50="",F50=""),"",IF(AG11&gt;D50,"",AF110*Loans!C7/12))</f>
        <v/>
      </c>
      <c r="AH50" s="15" t="str">
        <f aca="false">IF(OR(C50&lt;&gt;"Closed",D50="",F50=""),"",IF(AH11&gt;D50,"",AG110*Loans!C7/12))</f>
        <v/>
      </c>
      <c r="AI50" s="15" t="str">
        <f aca="false">IF(OR(C50&lt;&gt;"Closed",D50="",F50=""),"",IF(AI11&gt;D50,"",AH110*Loans!C7/12))</f>
        <v/>
      </c>
      <c r="AJ50" s="15" t="str">
        <f aca="false">IF(OR(C50&lt;&gt;"Closed",D50="",F50=""),"",IF(AJ11&gt;D50,"",AI110*Loans!C7/12))</f>
        <v/>
      </c>
      <c r="AK50" s="15" t="str">
        <f aca="false">IF(OR(C50&lt;&gt;"Closed",D50="",F50=""),"",IF(AK11&gt;D50,"",AJ110*Loans!C7/12))</f>
        <v/>
      </c>
      <c r="AL50" s="15" t="str">
        <f aca="false">IF(OR(C50&lt;&gt;"Closed",D50="",F50=""),"",IF(AL11&gt;D50,"",AK110*Loans!C7/12))</f>
        <v/>
      </c>
      <c r="AM50" s="15" t="str">
        <f aca="false">IF(OR(C50&lt;&gt;"Closed",D50="",F50=""),"",IF(AM11&gt;D50,"",AL110*Loans!C7/12))</f>
        <v/>
      </c>
      <c r="AN50" s="15" t="str">
        <f aca="false">IF(OR(C50&lt;&gt;"Closed",D50="",F50=""),"",IF(AN11&gt;D50,"",AM110*Loans!C7/12))</f>
        <v/>
      </c>
      <c r="AO50" s="15" t="str">
        <f aca="false">IF(OR(C50&lt;&gt;"Closed",D50="",F50=""),"",IF(AO11&gt;D50,"",AN110*Loans!C7/12))</f>
        <v/>
      </c>
      <c r="AP50" s="15" t="str">
        <f aca="false">IF(OR(C50&lt;&gt;"Closed",D50="",F50=""),"",IF(AP11&gt;D50,"",AO110*Loans!C7/12))</f>
        <v/>
      </c>
      <c r="AQ50" s="15" t="str">
        <f aca="false">IF(OR(C50&lt;&gt;"Closed",D50="",F50=""),"",IF(AQ11&gt;D50,"",AP110*Loans!C7/12))</f>
        <v/>
      </c>
      <c r="AR50" s="15" t="str">
        <f aca="false">IF(OR(C50&lt;&gt;"Closed",D50="",F50=""),"",IF(AR11&gt;D50,"",AQ110*Loans!C7/12))</f>
        <v/>
      </c>
      <c r="AS50" s="15" t="str">
        <f aca="false">IF(OR(C50&lt;&gt;"Closed",D50="",F50=""),"",IF(AS11&gt;D50,"",AR110*Loans!C7/12))</f>
        <v/>
      </c>
      <c r="AT50" s="15" t="str">
        <f aca="false">IF(OR(C50&lt;&gt;"Closed",D50="",F50=""),"",IF(AT11&gt;D50,"",AS110*Loans!C7/12))</f>
        <v/>
      </c>
      <c r="AU50" s="15" t="str">
        <f aca="false">IF(OR(C50&lt;&gt;"Closed",D50="",F50=""),"",IF(AU11&gt;D50,"",AT110*Loans!C7/12))</f>
        <v/>
      </c>
      <c r="AV50" s="15" t="str">
        <f aca="false">IF(OR(C50&lt;&gt;"Closed",D50="",F50=""),"",IF(AV11&gt;D50,"",AU110*Loans!C7/12))</f>
        <v/>
      </c>
      <c r="AW50" s="15" t="str">
        <f aca="false">IF(OR(C50&lt;&gt;"Closed",D50="",F50=""),"",IF(AW11&gt;D50,"",AV110*Loans!C7/12))</f>
        <v/>
      </c>
      <c r="AX50" s="15" t="str">
        <f aca="false">IF(OR(C50&lt;&gt;"Closed",D50="",F50=""),"",IF(AX11&gt;D50,"",AW110*Loans!C7/12))</f>
        <v/>
      </c>
      <c r="AY50" s="15" t="str">
        <f aca="false">IF(OR(C50&lt;&gt;"Closed",D50="",F50=""),"",IF(AY11&gt;D50,"",AX110*Loans!C7/12))</f>
        <v/>
      </c>
      <c r="AZ50" s="15" t="str">
        <f aca="false">IF(OR(C50&lt;&gt;"Closed",D50="",F50=""),"",IF(AZ11&gt;D50,"",AY110*Loans!C7/12))</f>
        <v/>
      </c>
      <c r="BA50" s="15" t="str">
        <f aca="false">IF(OR(C50&lt;&gt;"Closed",D50="",F50=""),"",IF(BA11&gt;D50,"",AZ110*Loans!C7/12))</f>
        <v/>
      </c>
      <c r="BB50" s="15" t="str">
        <f aca="false">IF(OR(C50&lt;&gt;"Closed",D50="",F50=""),"",IF(BB11&gt;D50,"",BA110*Loans!C7/12))</f>
        <v/>
      </c>
      <c r="BC50" s="15" t="str">
        <f aca="false">IF(OR(C50&lt;&gt;"Closed",D50="",F50=""),"",IF(BC11&gt;D50,"",BB110*Loans!C7/12))</f>
        <v/>
      </c>
      <c r="BD50" s="15" t="str">
        <f aca="false">IF(OR(C50&lt;&gt;"Closed",D50="",F50=""),"",IF(BD11&gt;D50,"",BC110*Loans!C7/12))</f>
        <v/>
      </c>
      <c r="BE50" s="15" t="str">
        <f aca="false">IF(OR(C50&lt;&gt;"Closed",D50="",F50=""),"",IF(BE11&gt;D50,"",BD110*Loans!C7/12))</f>
        <v/>
      </c>
      <c r="BF50" s="15" t="str">
        <f aca="false">IF(OR(C50&lt;&gt;"Closed",D50="",F50=""),"",IF(BF11&gt;D50,"",BE110*Loans!C7/12))</f>
        <v/>
      </c>
      <c r="BG50" s="15" t="str">
        <f aca="false">IF(OR(C50&lt;&gt;"Closed",D50="",F50=""),"",IF(BG11&gt;D50,"",BF110*Loans!C7/12))</f>
        <v/>
      </c>
      <c r="BH50" s="15" t="str">
        <f aca="false">IF(OR(C50&lt;&gt;"Closed",D50="",F50=""),"",IF(BH11&gt;D50,"",BG110*Loans!C7/12))</f>
        <v/>
      </c>
      <c r="BI50" s="15" t="str">
        <f aca="false">IF(OR(C50&lt;&gt;"Closed",D50="",F50=""),"",IF(BI11&gt;D50,"",BH110*Loans!C7/12))</f>
        <v/>
      </c>
      <c r="BJ50" s="15" t="str">
        <f aca="false">IF(OR(C50&lt;&gt;"Closed",D50="",F50=""),"",IF(BJ11&gt;D50,"",BI110*Loans!C7/12))</f>
        <v/>
      </c>
      <c r="BK50" s="15" t="str">
        <f aca="false">IF(OR(C50&lt;&gt;"Closed",D50="",F50=""),"",IF(BK11&gt;D50,"",BJ110*Loans!C7/12))</f>
        <v/>
      </c>
      <c r="BL50" s="15" t="str">
        <f aca="false">IF(OR(C50&lt;&gt;"Closed",D50="",F50=""),"",IF(BL11&gt;D50,"",BK110*Loans!C7/12))</f>
        <v/>
      </c>
      <c r="BM50" s="15" t="str">
        <f aca="false">IF(OR(C50&lt;&gt;"Closed",D50="",F50=""),"",IF(BM11&gt;D50,"",BL110*Loans!C7/12))</f>
        <v/>
      </c>
      <c r="BN50" s="15" t="str">
        <f aca="false">IF(OR(C50&lt;&gt;"Closed",D50="",F50=""),"",IF(BN11&gt;D50,"",BM110*Loans!C7/12))</f>
        <v/>
      </c>
      <c r="BO50" s="15" t="str">
        <f aca="false">IF(OR(C50&lt;&gt;"Closed",D50="",F50=""),"",IF(BO11&gt;D50,"",BN110*Loans!C7/12))</f>
        <v/>
      </c>
      <c r="BP50" s="15" t="str">
        <f aca="false">IF(OR(C50&lt;&gt;"Closed",D50="",F50=""),"",IF(BP11&gt;D50,"",BO110*Loans!C7/12))</f>
        <v/>
      </c>
    </row>
    <row r="51" customFormat="false" ht="15" hidden="false" customHeight="false" outlineLevel="0" collapsed="false">
      <c r="A51" s="29" t="str">
        <f aca="false">IF(Loans!A51="","",Loans!A51)</f>
        <v/>
      </c>
      <c r="B51" s="29" t="str">
        <f aca="false">IF(Loans!B51="","",Loans!B51)</f>
        <v/>
      </c>
      <c r="C51" s="29" t="str">
        <f aca="false">IF(Loans!C51="","",Loans!C51)</f>
        <v/>
      </c>
      <c r="D51" s="16" t="str">
        <f aca="false">IF(Loans!I51="","",Loans!I51)</f>
        <v/>
      </c>
      <c r="E51" s="17" t="str">
        <f aca="false">IF(Loans!E51="","",Loans!E51)</f>
        <v/>
      </c>
      <c r="F51" s="15" t="str">
        <f aca="false">IF(Loans!F51="","",Loans!F51)</f>
        <v/>
      </c>
      <c r="G51" s="15" t="str">
        <f aca="false">IF(OR(C51&lt;&gt;"Closed",D51="",F51=""),"",PMT(Loans!C7/12,D51,-F51))</f>
        <v/>
      </c>
      <c r="H51" s="15" t="str">
        <f aca="false">IF(C51&lt;&gt;"Closed","",SUM(I51:BP51))</f>
        <v/>
      </c>
      <c r="I51" s="15" t="str">
        <f aca="false">IF(OR(C51&lt;&gt;"Closed",D51="",F51=""),"",IF(I11&gt;D51,"",F51*Loans!C7/12))</f>
        <v/>
      </c>
      <c r="J51" s="15" t="str">
        <f aca="false">IF(OR(C51&lt;&gt;"Closed",D51="",F51=""),"",IF(J11&gt;D51,"",I111*Loans!C7/12))</f>
        <v/>
      </c>
      <c r="K51" s="15" t="str">
        <f aca="false">IF(OR(C51&lt;&gt;"Closed",D51="",F51=""),"",IF(K11&gt;D51,"",J111*Loans!C7/12))</f>
        <v/>
      </c>
      <c r="L51" s="15" t="str">
        <f aca="false">IF(OR(C51&lt;&gt;"Closed",D51="",F51=""),"",IF(L11&gt;D51,"",K111*Loans!C7/12))</f>
        <v/>
      </c>
      <c r="M51" s="15" t="str">
        <f aca="false">IF(OR(C51&lt;&gt;"Closed",D51="",F51=""),"",IF(M11&gt;D51,"",L111*Loans!C7/12))</f>
        <v/>
      </c>
      <c r="N51" s="15" t="str">
        <f aca="false">IF(OR(C51&lt;&gt;"Closed",D51="",F51=""),"",IF(N11&gt;D51,"",M111*Loans!C7/12))</f>
        <v/>
      </c>
      <c r="O51" s="15" t="str">
        <f aca="false">IF(OR(C51&lt;&gt;"Closed",D51="",F51=""),"",IF(O11&gt;D51,"",N111*Loans!C7/12))</f>
        <v/>
      </c>
      <c r="P51" s="15" t="str">
        <f aca="false">IF(OR(C51&lt;&gt;"Closed",D51="",F51=""),"",IF(P11&gt;D51,"",O111*Loans!C7/12))</f>
        <v/>
      </c>
      <c r="Q51" s="15" t="str">
        <f aca="false">IF(OR(C51&lt;&gt;"Closed",D51="",F51=""),"",IF(Q11&gt;D51,"",P111*Loans!C7/12))</f>
        <v/>
      </c>
      <c r="R51" s="15" t="str">
        <f aca="false">IF(OR(C51&lt;&gt;"Closed",D51="",F51=""),"",IF(R11&gt;D51,"",Q111*Loans!C7/12))</f>
        <v/>
      </c>
      <c r="S51" s="15" t="str">
        <f aca="false">IF(OR(C51&lt;&gt;"Closed",D51="",F51=""),"",IF(S11&gt;D51,"",R111*Loans!C7/12))</f>
        <v/>
      </c>
      <c r="T51" s="15" t="str">
        <f aca="false">IF(OR(C51&lt;&gt;"Closed",D51="",F51=""),"",IF(T11&gt;D51,"",S111*Loans!C7/12))</f>
        <v/>
      </c>
      <c r="U51" s="15" t="str">
        <f aca="false">IF(OR(C51&lt;&gt;"Closed",D51="",F51=""),"",IF(U11&gt;D51,"",T111*Loans!C7/12))</f>
        <v/>
      </c>
      <c r="V51" s="15" t="str">
        <f aca="false">IF(OR(C51&lt;&gt;"Closed",D51="",F51=""),"",IF(V11&gt;D51,"",U111*Loans!C7/12))</f>
        <v/>
      </c>
      <c r="W51" s="15" t="str">
        <f aca="false">IF(OR(C51&lt;&gt;"Closed",D51="",F51=""),"",IF(W11&gt;D51,"",V111*Loans!C7/12))</f>
        <v/>
      </c>
      <c r="X51" s="15" t="str">
        <f aca="false">IF(OR(C51&lt;&gt;"Closed",D51="",F51=""),"",IF(X11&gt;D51,"",W111*Loans!C7/12))</f>
        <v/>
      </c>
      <c r="Y51" s="15" t="str">
        <f aca="false">IF(OR(C51&lt;&gt;"Closed",D51="",F51=""),"",IF(Y11&gt;D51,"",X111*Loans!C7/12))</f>
        <v/>
      </c>
      <c r="Z51" s="15" t="str">
        <f aca="false">IF(OR(C51&lt;&gt;"Closed",D51="",F51=""),"",IF(Z11&gt;D51,"",Y111*Loans!C7/12))</f>
        <v/>
      </c>
      <c r="AA51" s="15" t="str">
        <f aca="false">IF(OR(C51&lt;&gt;"Closed",D51="",F51=""),"",IF(AA11&gt;D51,"",Z111*Loans!C7/12))</f>
        <v/>
      </c>
      <c r="AB51" s="15" t="str">
        <f aca="false">IF(OR(C51&lt;&gt;"Closed",D51="",F51=""),"",IF(AB11&gt;D51,"",AA111*Loans!C7/12))</f>
        <v/>
      </c>
      <c r="AC51" s="15" t="str">
        <f aca="false">IF(OR(C51&lt;&gt;"Closed",D51="",F51=""),"",IF(AC11&gt;D51,"",AB111*Loans!C7/12))</f>
        <v/>
      </c>
      <c r="AD51" s="15" t="str">
        <f aca="false">IF(OR(C51&lt;&gt;"Closed",D51="",F51=""),"",IF(AD11&gt;D51,"",AC111*Loans!C7/12))</f>
        <v/>
      </c>
      <c r="AE51" s="15" t="str">
        <f aca="false">IF(OR(C51&lt;&gt;"Closed",D51="",F51=""),"",IF(AE11&gt;D51,"",AD111*Loans!C7/12))</f>
        <v/>
      </c>
      <c r="AF51" s="15" t="str">
        <f aca="false">IF(OR(C51&lt;&gt;"Closed",D51="",F51=""),"",IF(AF11&gt;D51,"",AE111*Loans!C7/12))</f>
        <v/>
      </c>
      <c r="AG51" s="15" t="str">
        <f aca="false">IF(OR(C51&lt;&gt;"Closed",D51="",F51=""),"",IF(AG11&gt;D51,"",AF111*Loans!C7/12))</f>
        <v/>
      </c>
      <c r="AH51" s="15" t="str">
        <f aca="false">IF(OR(C51&lt;&gt;"Closed",D51="",F51=""),"",IF(AH11&gt;D51,"",AG111*Loans!C7/12))</f>
        <v/>
      </c>
      <c r="AI51" s="15" t="str">
        <f aca="false">IF(OR(C51&lt;&gt;"Closed",D51="",F51=""),"",IF(AI11&gt;D51,"",AH111*Loans!C7/12))</f>
        <v/>
      </c>
      <c r="AJ51" s="15" t="str">
        <f aca="false">IF(OR(C51&lt;&gt;"Closed",D51="",F51=""),"",IF(AJ11&gt;D51,"",AI111*Loans!C7/12))</f>
        <v/>
      </c>
      <c r="AK51" s="15" t="str">
        <f aca="false">IF(OR(C51&lt;&gt;"Closed",D51="",F51=""),"",IF(AK11&gt;D51,"",AJ111*Loans!C7/12))</f>
        <v/>
      </c>
      <c r="AL51" s="15" t="str">
        <f aca="false">IF(OR(C51&lt;&gt;"Closed",D51="",F51=""),"",IF(AL11&gt;D51,"",AK111*Loans!C7/12))</f>
        <v/>
      </c>
      <c r="AM51" s="15" t="str">
        <f aca="false">IF(OR(C51&lt;&gt;"Closed",D51="",F51=""),"",IF(AM11&gt;D51,"",AL111*Loans!C7/12))</f>
        <v/>
      </c>
      <c r="AN51" s="15" t="str">
        <f aca="false">IF(OR(C51&lt;&gt;"Closed",D51="",F51=""),"",IF(AN11&gt;D51,"",AM111*Loans!C7/12))</f>
        <v/>
      </c>
      <c r="AO51" s="15" t="str">
        <f aca="false">IF(OR(C51&lt;&gt;"Closed",D51="",F51=""),"",IF(AO11&gt;D51,"",AN111*Loans!C7/12))</f>
        <v/>
      </c>
      <c r="AP51" s="15" t="str">
        <f aca="false">IF(OR(C51&lt;&gt;"Closed",D51="",F51=""),"",IF(AP11&gt;D51,"",AO111*Loans!C7/12))</f>
        <v/>
      </c>
      <c r="AQ51" s="15" t="str">
        <f aca="false">IF(OR(C51&lt;&gt;"Closed",D51="",F51=""),"",IF(AQ11&gt;D51,"",AP111*Loans!C7/12))</f>
        <v/>
      </c>
      <c r="AR51" s="15" t="str">
        <f aca="false">IF(OR(C51&lt;&gt;"Closed",D51="",F51=""),"",IF(AR11&gt;D51,"",AQ111*Loans!C7/12))</f>
        <v/>
      </c>
      <c r="AS51" s="15" t="str">
        <f aca="false">IF(OR(C51&lt;&gt;"Closed",D51="",F51=""),"",IF(AS11&gt;D51,"",AR111*Loans!C7/12))</f>
        <v/>
      </c>
      <c r="AT51" s="15" t="str">
        <f aca="false">IF(OR(C51&lt;&gt;"Closed",D51="",F51=""),"",IF(AT11&gt;D51,"",AS111*Loans!C7/12))</f>
        <v/>
      </c>
      <c r="AU51" s="15" t="str">
        <f aca="false">IF(OR(C51&lt;&gt;"Closed",D51="",F51=""),"",IF(AU11&gt;D51,"",AT111*Loans!C7/12))</f>
        <v/>
      </c>
      <c r="AV51" s="15" t="str">
        <f aca="false">IF(OR(C51&lt;&gt;"Closed",D51="",F51=""),"",IF(AV11&gt;D51,"",AU111*Loans!C7/12))</f>
        <v/>
      </c>
      <c r="AW51" s="15" t="str">
        <f aca="false">IF(OR(C51&lt;&gt;"Closed",D51="",F51=""),"",IF(AW11&gt;D51,"",AV111*Loans!C7/12))</f>
        <v/>
      </c>
      <c r="AX51" s="15" t="str">
        <f aca="false">IF(OR(C51&lt;&gt;"Closed",D51="",F51=""),"",IF(AX11&gt;D51,"",AW111*Loans!C7/12))</f>
        <v/>
      </c>
      <c r="AY51" s="15" t="str">
        <f aca="false">IF(OR(C51&lt;&gt;"Closed",D51="",F51=""),"",IF(AY11&gt;D51,"",AX111*Loans!C7/12))</f>
        <v/>
      </c>
      <c r="AZ51" s="15" t="str">
        <f aca="false">IF(OR(C51&lt;&gt;"Closed",D51="",F51=""),"",IF(AZ11&gt;D51,"",AY111*Loans!C7/12))</f>
        <v/>
      </c>
      <c r="BA51" s="15" t="str">
        <f aca="false">IF(OR(C51&lt;&gt;"Closed",D51="",F51=""),"",IF(BA11&gt;D51,"",AZ111*Loans!C7/12))</f>
        <v/>
      </c>
      <c r="BB51" s="15" t="str">
        <f aca="false">IF(OR(C51&lt;&gt;"Closed",D51="",F51=""),"",IF(BB11&gt;D51,"",BA111*Loans!C7/12))</f>
        <v/>
      </c>
      <c r="BC51" s="15" t="str">
        <f aca="false">IF(OR(C51&lt;&gt;"Closed",D51="",F51=""),"",IF(BC11&gt;D51,"",BB111*Loans!C7/12))</f>
        <v/>
      </c>
      <c r="BD51" s="15" t="str">
        <f aca="false">IF(OR(C51&lt;&gt;"Closed",D51="",F51=""),"",IF(BD11&gt;D51,"",BC111*Loans!C7/12))</f>
        <v/>
      </c>
      <c r="BE51" s="15" t="str">
        <f aca="false">IF(OR(C51&lt;&gt;"Closed",D51="",F51=""),"",IF(BE11&gt;D51,"",BD111*Loans!C7/12))</f>
        <v/>
      </c>
      <c r="BF51" s="15" t="str">
        <f aca="false">IF(OR(C51&lt;&gt;"Closed",D51="",F51=""),"",IF(BF11&gt;D51,"",BE111*Loans!C7/12))</f>
        <v/>
      </c>
      <c r="BG51" s="15" t="str">
        <f aca="false">IF(OR(C51&lt;&gt;"Closed",D51="",F51=""),"",IF(BG11&gt;D51,"",BF111*Loans!C7/12))</f>
        <v/>
      </c>
      <c r="BH51" s="15" t="str">
        <f aca="false">IF(OR(C51&lt;&gt;"Closed",D51="",F51=""),"",IF(BH11&gt;D51,"",BG111*Loans!C7/12))</f>
        <v/>
      </c>
      <c r="BI51" s="15" t="str">
        <f aca="false">IF(OR(C51&lt;&gt;"Closed",D51="",F51=""),"",IF(BI11&gt;D51,"",BH111*Loans!C7/12))</f>
        <v/>
      </c>
      <c r="BJ51" s="15" t="str">
        <f aca="false">IF(OR(C51&lt;&gt;"Closed",D51="",F51=""),"",IF(BJ11&gt;D51,"",BI111*Loans!C7/12))</f>
        <v/>
      </c>
      <c r="BK51" s="15" t="str">
        <f aca="false">IF(OR(C51&lt;&gt;"Closed",D51="",F51=""),"",IF(BK11&gt;D51,"",BJ111*Loans!C7/12))</f>
        <v/>
      </c>
      <c r="BL51" s="15" t="str">
        <f aca="false">IF(OR(C51&lt;&gt;"Closed",D51="",F51=""),"",IF(BL11&gt;D51,"",BK111*Loans!C7/12))</f>
        <v/>
      </c>
      <c r="BM51" s="15" t="str">
        <f aca="false">IF(OR(C51&lt;&gt;"Closed",D51="",F51=""),"",IF(BM11&gt;D51,"",BL111*Loans!C7/12))</f>
        <v/>
      </c>
      <c r="BN51" s="15" t="str">
        <f aca="false">IF(OR(C51&lt;&gt;"Closed",D51="",F51=""),"",IF(BN11&gt;D51,"",BM111*Loans!C7/12))</f>
        <v/>
      </c>
      <c r="BO51" s="15" t="str">
        <f aca="false">IF(OR(C51&lt;&gt;"Closed",D51="",F51=""),"",IF(BO11&gt;D51,"",BN111*Loans!C7/12))</f>
        <v/>
      </c>
      <c r="BP51" s="15" t="str">
        <f aca="false">IF(OR(C51&lt;&gt;"Closed",D51="",F51=""),"",IF(BP11&gt;D51,"",BO111*Loans!C7/12))</f>
        <v/>
      </c>
    </row>
    <row r="52" customFormat="false" ht="15" hidden="false" customHeight="false" outlineLevel="0" collapsed="false">
      <c r="A52" s="29" t="str">
        <f aca="false">IF(Loans!A52="","",Loans!A52)</f>
        <v/>
      </c>
      <c r="B52" s="29" t="str">
        <f aca="false">IF(Loans!B52="","",Loans!B52)</f>
        <v/>
      </c>
      <c r="C52" s="29" t="str">
        <f aca="false">IF(Loans!C52="","",Loans!C52)</f>
        <v/>
      </c>
      <c r="D52" s="16" t="str">
        <f aca="false">IF(Loans!I52="","",Loans!I52)</f>
        <v/>
      </c>
      <c r="E52" s="17" t="str">
        <f aca="false">IF(Loans!E52="","",Loans!E52)</f>
        <v/>
      </c>
      <c r="F52" s="15" t="str">
        <f aca="false">IF(Loans!F52="","",Loans!F52)</f>
        <v/>
      </c>
      <c r="G52" s="15" t="str">
        <f aca="false">IF(OR(C52&lt;&gt;"Closed",D52="",F52=""),"",PMT(Loans!C7/12,D52,-F52))</f>
        <v/>
      </c>
      <c r="H52" s="15" t="str">
        <f aca="false">IF(C52&lt;&gt;"Closed","",SUM(I52:BP52))</f>
        <v/>
      </c>
      <c r="I52" s="15" t="str">
        <f aca="false">IF(OR(C52&lt;&gt;"Closed",D52="",F52=""),"",IF(I11&gt;D52,"",F52*Loans!C7/12))</f>
        <v/>
      </c>
      <c r="J52" s="15" t="str">
        <f aca="false">IF(OR(C52&lt;&gt;"Closed",D52="",F52=""),"",IF(J11&gt;D52,"",I112*Loans!C7/12))</f>
        <v/>
      </c>
      <c r="K52" s="15" t="str">
        <f aca="false">IF(OR(C52&lt;&gt;"Closed",D52="",F52=""),"",IF(K11&gt;D52,"",J112*Loans!C7/12))</f>
        <v/>
      </c>
      <c r="L52" s="15" t="str">
        <f aca="false">IF(OR(C52&lt;&gt;"Closed",D52="",F52=""),"",IF(L11&gt;D52,"",K112*Loans!C7/12))</f>
        <v/>
      </c>
      <c r="M52" s="15" t="str">
        <f aca="false">IF(OR(C52&lt;&gt;"Closed",D52="",F52=""),"",IF(M11&gt;D52,"",L112*Loans!C7/12))</f>
        <v/>
      </c>
      <c r="N52" s="15" t="str">
        <f aca="false">IF(OR(C52&lt;&gt;"Closed",D52="",F52=""),"",IF(N11&gt;D52,"",M112*Loans!C7/12))</f>
        <v/>
      </c>
      <c r="O52" s="15" t="str">
        <f aca="false">IF(OR(C52&lt;&gt;"Closed",D52="",F52=""),"",IF(O11&gt;D52,"",N112*Loans!C7/12))</f>
        <v/>
      </c>
      <c r="P52" s="15" t="str">
        <f aca="false">IF(OR(C52&lt;&gt;"Closed",D52="",F52=""),"",IF(P11&gt;D52,"",O112*Loans!C7/12))</f>
        <v/>
      </c>
      <c r="Q52" s="15" t="str">
        <f aca="false">IF(OR(C52&lt;&gt;"Closed",D52="",F52=""),"",IF(Q11&gt;D52,"",P112*Loans!C7/12))</f>
        <v/>
      </c>
      <c r="R52" s="15" t="str">
        <f aca="false">IF(OR(C52&lt;&gt;"Closed",D52="",F52=""),"",IF(R11&gt;D52,"",Q112*Loans!C7/12))</f>
        <v/>
      </c>
      <c r="S52" s="15" t="str">
        <f aca="false">IF(OR(C52&lt;&gt;"Closed",D52="",F52=""),"",IF(S11&gt;D52,"",R112*Loans!C7/12))</f>
        <v/>
      </c>
      <c r="T52" s="15" t="str">
        <f aca="false">IF(OR(C52&lt;&gt;"Closed",D52="",F52=""),"",IF(T11&gt;D52,"",S112*Loans!C7/12))</f>
        <v/>
      </c>
      <c r="U52" s="15" t="str">
        <f aca="false">IF(OR(C52&lt;&gt;"Closed",D52="",F52=""),"",IF(U11&gt;D52,"",T112*Loans!C7/12))</f>
        <v/>
      </c>
      <c r="V52" s="15" t="str">
        <f aca="false">IF(OR(C52&lt;&gt;"Closed",D52="",F52=""),"",IF(V11&gt;D52,"",U112*Loans!C7/12))</f>
        <v/>
      </c>
      <c r="W52" s="15" t="str">
        <f aca="false">IF(OR(C52&lt;&gt;"Closed",D52="",F52=""),"",IF(W11&gt;D52,"",V112*Loans!C7/12))</f>
        <v/>
      </c>
      <c r="X52" s="15" t="str">
        <f aca="false">IF(OR(C52&lt;&gt;"Closed",D52="",F52=""),"",IF(X11&gt;D52,"",W112*Loans!C7/12))</f>
        <v/>
      </c>
      <c r="Y52" s="15" t="str">
        <f aca="false">IF(OR(C52&lt;&gt;"Closed",D52="",F52=""),"",IF(Y11&gt;D52,"",X112*Loans!C7/12))</f>
        <v/>
      </c>
      <c r="Z52" s="15" t="str">
        <f aca="false">IF(OR(C52&lt;&gt;"Closed",D52="",F52=""),"",IF(Z11&gt;D52,"",Y112*Loans!C7/12))</f>
        <v/>
      </c>
      <c r="AA52" s="15" t="str">
        <f aca="false">IF(OR(C52&lt;&gt;"Closed",D52="",F52=""),"",IF(AA11&gt;D52,"",Z112*Loans!C7/12))</f>
        <v/>
      </c>
      <c r="AB52" s="15" t="str">
        <f aca="false">IF(OR(C52&lt;&gt;"Closed",D52="",F52=""),"",IF(AB11&gt;D52,"",AA112*Loans!C7/12))</f>
        <v/>
      </c>
      <c r="AC52" s="15" t="str">
        <f aca="false">IF(OR(C52&lt;&gt;"Closed",D52="",F52=""),"",IF(AC11&gt;D52,"",AB112*Loans!C7/12))</f>
        <v/>
      </c>
      <c r="AD52" s="15" t="str">
        <f aca="false">IF(OR(C52&lt;&gt;"Closed",D52="",F52=""),"",IF(AD11&gt;D52,"",AC112*Loans!C7/12))</f>
        <v/>
      </c>
      <c r="AE52" s="15" t="str">
        <f aca="false">IF(OR(C52&lt;&gt;"Closed",D52="",F52=""),"",IF(AE11&gt;D52,"",AD112*Loans!C7/12))</f>
        <v/>
      </c>
      <c r="AF52" s="15" t="str">
        <f aca="false">IF(OR(C52&lt;&gt;"Closed",D52="",F52=""),"",IF(AF11&gt;D52,"",AE112*Loans!C7/12))</f>
        <v/>
      </c>
      <c r="AG52" s="15" t="str">
        <f aca="false">IF(OR(C52&lt;&gt;"Closed",D52="",F52=""),"",IF(AG11&gt;D52,"",AF112*Loans!C7/12))</f>
        <v/>
      </c>
      <c r="AH52" s="15" t="str">
        <f aca="false">IF(OR(C52&lt;&gt;"Closed",D52="",F52=""),"",IF(AH11&gt;D52,"",AG112*Loans!C7/12))</f>
        <v/>
      </c>
      <c r="AI52" s="15" t="str">
        <f aca="false">IF(OR(C52&lt;&gt;"Closed",D52="",F52=""),"",IF(AI11&gt;D52,"",AH112*Loans!C7/12))</f>
        <v/>
      </c>
      <c r="AJ52" s="15" t="str">
        <f aca="false">IF(OR(C52&lt;&gt;"Closed",D52="",F52=""),"",IF(AJ11&gt;D52,"",AI112*Loans!C7/12))</f>
        <v/>
      </c>
      <c r="AK52" s="15" t="str">
        <f aca="false">IF(OR(C52&lt;&gt;"Closed",D52="",F52=""),"",IF(AK11&gt;D52,"",AJ112*Loans!C7/12))</f>
        <v/>
      </c>
      <c r="AL52" s="15" t="str">
        <f aca="false">IF(OR(C52&lt;&gt;"Closed",D52="",F52=""),"",IF(AL11&gt;D52,"",AK112*Loans!C7/12))</f>
        <v/>
      </c>
      <c r="AM52" s="15" t="str">
        <f aca="false">IF(OR(C52&lt;&gt;"Closed",D52="",F52=""),"",IF(AM11&gt;D52,"",AL112*Loans!C7/12))</f>
        <v/>
      </c>
      <c r="AN52" s="15" t="str">
        <f aca="false">IF(OR(C52&lt;&gt;"Closed",D52="",F52=""),"",IF(AN11&gt;D52,"",AM112*Loans!C7/12))</f>
        <v/>
      </c>
      <c r="AO52" s="15" t="str">
        <f aca="false">IF(OR(C52&lt;&gt;"Closed",D52="",F52=""),"",IF(AO11&gt;D52,"",AN112*Loans!C7/12))</f>
        <v/>
      </c>
      <c r="AP52" s="15" t="str">
        <f aca="false">IF(OR(C52&lt;&gt;"Closed",D52="",F52=""),"",IF(AP11&gt;D52,"",AO112*Loans!C7/12))</f>
        <v/>
      </c>
      <c r="AQ52" s="15" t="str">
        <f aca="false">IF(OR(C52&lt;&gt;"Closed",D52="",F52=""),"",IF(AQ11&gt;D52,"",AP112*Loans!C7/12))</f>
        <v/>
      </c>
      <c r="AR52" s="15" t="str">
        <f aca="false">IF(OR(C52&lt;&gt;"Closed",D52="",F52=""),"",IF(AR11&gt;D52,"",AQ112*Loans!C7/12))</f>
        <v/>
      </c>
      <c r="AS52" s="15" t="str">
        <f aca="false">IF(OR(C52&lt;&gt;"Closed",D52="",F52=""),"",IF(AS11&gt;D52,"",AR112*Loans!C7/12))</f>
        <v/>
      </c>
      <c r="AT52" s="15" t="str">
        <f aca="false">IF(OR(C52&lt;&gt;"Closed",D52="",F52=""),"",IF(AT11&gt;D52,"",AS112*Loans!C7/12))</f>
        <v/>
      </c>
      <c r="AU52" s="15" t="str">
        <f aca="false">IF(OR(C52&lt;&gt;"Closed",D52="",F52=""),"",IF(AU11&gt;D52,"",AT112*Loans!C7/12))</f>
        <v/>
      </c>
      <c r="AV52" s="15" t="str">
        <f aca="false">IF(OR(C52&lt;&gt;"Closed",D52="",F52=""),"",IF(AV11&gt;D52,"",AU112*Loans!C7/12))</f>
        <v/>
      </c>
      <c r="AW52" s="15" t="str">
        <f aca="false">IF(OR(C52&lt;&gt;"Closed",D52="",F52=""),"",IF(AW11&gt;D52,"",AV112*Loans!C7/12))</f>
        <v/>
      </c>
      <c r="AX52" s="15" t="str">
        <f aca="false">IF(OR(C52&lt;&gt;"Closed",D52="",F52=""),"",IF(AX11&gt;D52,"",AW112*Loans!C7/12))</f>
        <v/>
      </c>
      <c r="AY52" s="15" t="str">
        <f aca="false">IF(OR(C52&lt;&gt;"Closed",D52="",F52=""),"",IF(AY11&gt;D52,"",AX112*Loans!C7/12))</f>
        <v/>
      </c>
      <c r="AZ52" s="15" t="str">
        <f aca="false">IF(OR(C52&lt;&gt;"Closed",D52="",F52=""),"",IF(AZ11&gt;D52,"",AY112*Loans!C7/12))</f>
        <v/>
      </c>
      <c r="BA52" s="15" t="str">
        <f aca="false">IF(OR(C52&lt;&gt;"Closed",D52="",F52=""),"",IF(BA11&gt;D52,"",AZ112*Loans!C7/12))</f>
        <v/>
      </c>
      <c r="BB52" s="15" t="str">
        <f aca="false">IF(OR(C52&lt;&gt;"Closed",D52="",F52=""),"",IF(BB11&gt;D52,"",BA112*Loans!C7/12))</f>
        <v/>
      </c>
      <c r="BC52" s="15" t="str">
        <f aca="false">IF(OR(C52&lt;&gt;"Closed",D52="",F52=""),"",IF(BC11&gt;D52,"",BB112*Loans!C7/12))</f>
        <v/>
      </c>
      <c r="BD52" s="15" t="str">
        <f aca="false">IF(OR(C52&lt;&gt;"Closed",D52="",F52=""),"",IF(BD11&gt;D52,"",BC112*Loans!C7/12))</f>
        <v/>
      </c>
      <c r="BE52" s="15" t="str">
        <f aca="false">IF(OR(C52&lt;&gt;"Closed",D52="",F52=""),"",IF(BE11&gt;D52,"",BD112*Loans!C7/12))</f>
        <v/>
      </c>
      <c r="BF52" s="15" t="str">
        <f aca="false">IF(OR(C52&lt;&gt;"Closed",D52="",F52=""),"",IF(BF11&gt;D52,"",BE112*Loans!C7/12))</f>
        <v/>
      </c>
      <c r="BG52" s="15" t="str">
        <f aca="false">IF(OR(C52&lt;&gt;"Closed",D52="",F52=""),"",IF(BG11&gt;D52,"",BF112*Loans!C7/12))</f>
        <v/>
      </c>
      <c r="BH52" s="15" t="str">
        <f aca="false">IF(OR(C52&lt;&gt;"Closed",D52="",F52=""),"",IF(BH11&gt;D52,"",BG112*Loans!C7/12))</f>
        <v/>
      </c>
      <c r="BI52" s="15" t="str">
        <f aca="false">IF(OR(C52&lt;&gt;"Closed",D52="",F52=""),"",IF(BI11&gt;D52,"",BH112*Loans!C7/12))</f>
        <v/>
      </c>
      <c r="BJ52" s="15" t="str">
        <f aca="false">IF(OR(C52&lt;&gt;"Closed",D52="",F52=""),"",IF(BJ11&gt;D52,"",BI112*Loans!C7/12))</f>
        <v/>
      </c>
      <c r="BK52" s="15" t="str">
        <f aca="false">IF(OR(C52&lt;&gt;"Closed",D52="",F52=""),"",IF(BK11&gt;D52,"",BJ112*Loans!C7/12))</f>
        <v/>
      </c>
      <c r="BL52" s="15" t="str">
        <f aca="false">IF(OR(C52&lt;&gt;"Closed",D52="",F52=""),"",IF(BL11&gt;D52,"",BK112*Loans!C7/12))</f>
        <v/>
      </c>
      <c r="BM52" s="15" t="str">
        <f aca="false">IF(OR(C52&lt;&gt;"Closed",D52="",F52=""),"",IF(BM11&gt;D52,"",BL112*Loans!C7/12))</f>
        <v/>
      </c>
      <c r="BN52" s="15" t="str">
        <f aca="false">IF(OR(C52&lt;&gt;"Closed",D52="",F52=""),"",IF(BN11&gt;D52,"",BM112*Loans!C7/12))</f>
        <v/>
      </c>
      <c r="BO52" s="15" t="str">
        <f aca="false">IF(OR(C52&lt;&gt;"Closed",D52="",F52=""),"",IF(BO11&gt;D52,"",BN112*Loans!C7/12))</f>
        <v/>
      </c>
      <c r="BP52" s="15" t="str">
        <f aca="false">IF(OR(C52&lt;&gt;"Closed",D52="",F52=""),"",IF(BP11&gt;D52,"",BO112*Loans!C7/12))</f>
        <v/>
      </c>
    </row>
    <row r="53" customFormat="false" ht="15" hidden="false" customHeight="false" outlineLevel="0" collapsed="false">
      <c r="A53" s="29" t="str">
        <f aca="false">IF(Loans!A53="","",Loans!A53)</f>
        <v/>
      </c>
      <c r="B53" s="29" t="str">
        <f aca="false">IF(Loans!B53="","",Loans!B53)</f>
        <v/>
      </c>
      <c r="C53" s="29" t="str">
        <f aca="false">IF(Loans!C53="","",Loans!C53)</f>
        <v/>
      </c>
      <c r="D53" s="16" t="str">
        <f aca="false">IF(Loans!I53="","",Loans!I53)</f>
        <v/>
      </c>
      <c r="E53" s="17" t="str">
        <f aca="false">IF(Loans!E53="","",Loans!E53)</f>
        <v/>
      </c>
      <c r="F53" s="15" t="str">
        <f aca="false">IF(Loans!F53="","",Loans!F53)</f>
        <v/>
      </c>
      <c r="G53" s="15" t="str">
        <f aca="false">IF(OR(C53&lt;&gt;"Closed",D53="",F53=""),"",PMT(Loans!C7/12,D53,-F53))</f>
        <v/>
      </c>
      <c r="H53" s="15" t="str">
        <f aca="false">IF(C53&lt;&gt;"Closed","",SUM(I53:BP53))</f>
        <v/>
      </c>
      <c r="I53" s="15" t="str">
        <f aca="false">IF(OR(C53&lt;&gt;"Closed",D53="",F53=""),"",IF(I11&gt;D53,"",F53*Loans!C7/12))</f>
        <v/>
      </c>
      <c r="J53" s="15" t="str">
        <f aca="false">IF(OR(C53&lt;&gt;"Closed",D53="",F53=""),"",IF(J11&gt;D53,"",I113*Loans!C7/12))</f>
        <v/>
      </c>
      <c r="K53" s="15" t="str">
        <f aca="false">IF(OR(C53&lt;&gt;"Closed",D53="",F53=""),"",IF(K11&gt;D53,"",J113*Loans!C7/12))</f>
        <v/>
      </c>
      <c r="L53" s="15" t="str">
        <f aca="false">IF(OR(C53&lt;&gt;"Closed",D53="",F53=""),"",IF(L11&gt;D53,"",K113*Loans!C7/12))</f>
        <v/>
      </c>
      <c r="M53" s="15" t="str">
        <f aca="false">IF(OR(C53&lt;&gt;"Closed",D53="",F53=""),"",IF(M11&gt;D53,"",L113*Loans!C7/12))</f>
        <v/>
      </c>
      <c r="N53" s="15" t="str">
        <f aca="false">IF(OR(C53&lt;&gt;"Closed",D53="",F53=""),"",IF(N11&gt;D53,"",M113*Loans!C7/12))</f>
        <v/>
      </c>
      <c r="O53" s="15" t="str">
        <f aca="false">IF(OR(C53&lt;&gt;"Closed",D53="",F53=""),"",IF(O11&gt;D53,"",N113*Loans!C7/12))</f>
        <v/>
      </c>
      <c r="P53" s="15" t="str">
        <f aca="false">IF(OR(C53&lt;&gt;"Closed",D53="",F53=""),"",IF(P11&gt;D53,"",O113*Loans!C7/12))</f>
        <v/>
      </c>
      <c r="Q53" s="15" t="str">
        <f aca="false">IF(OR(C53&lt;&gt;"Closed",D53="",F53=""),"",IF(Q11&gt;D53,"",P113*Loans!C7/12))</f>
        <v/>
      </c>
      <c r="R53" s="15" t="str">
        <f aca="false">IF(OR(C53&lt;&gt;"Closed",D53="",F53=""),"",IF(R11&gt;D53,"",Q113*Loans!C7/12))</f>
        <v/>
      </c>
      <c r="S53" s="15" t="str">
        <f aca="false">IF(OR(C53&lt;&gt;"Closed",D53="",F53=""),"",IF(S11&gt;D53,"",R113*Loans!C7/12))</f>
        <v/>
      </c>
      <c r="T53" s="15" t="str">
        <f aca="false">IF(OR(C53&lt;&gt;"Closed",D53="",F53=""),"",IF(T11&gt;D53,"",S113*Loans!C7/12))</f>
        <v/>
      </c>
      <c r="U53" s="15" t="str">
        <f aca="false">IF(OR(C53&lt;&gt;"Closed",D53="",F53=""),"",IF(U11&gt;D53,"",T113*Loans!C7/12))</f>
        <v/>
      </c>
      <c r="V53" s="15" t="str">
        <f aca="false">IF(OR(C53&lt;&gt;"Closed",D53="",F53=""),"",IF(V11&gt;D53,"",U113*Loans!C7/12))</f>
        <v/>
      </c>
      <c r="W53" s="15" t="str">
        <f aca="false">IF(OR(C53&lt;&gt;"Closed",D53="",F53=""),"",IF(W11&gt;D53,"",V113*Loans!C7/12))</f>
        <v/>
      </c>
      <c r="X53" s="15" t="str">
        <f aca="false">IF(OR(C53&lt;&gt;"Closed",D53="",F53=""),"",IF(X11&gt;D53,"",W113*Loans!C7/12))</f>
        <v/>
      </c>
      <c r="Y53" s="15" t="str">
        <f aca="false">IF(OR(C53&lt;&gt;"Closed",D53="",F53=""),"",IF(Y11&gt;D53,"",X113*Loans!C7/12))</f>
        <v/>
      </c>
      <c r="Z53" s="15" t="str">
        <f aca="false">IF(OR(C53&lt;&gt;"Closed",D53="",F53=""),"",IF(Z11&gt;D53,"",Y113*Loans!C7/12))</f>
        <v/>
      </c>
      <c r="AA53" s="15" t="str">
        <f aca="false">IF(OR(C53&lt;&gt;"Closed",D53="",F53=""),"",IF(AA11&gt;D53,"",Z113*Loans!C7/12))</f>
        <v/>
      </c>
      <c r="AB53" s="15" t="str">
        <f aca="false">IF(OR(C53&lt;&gt;"Closed",D53="",F53=""),"",IF(AB11&gt;D53,"",AA113*Loans!C7/12))</f>
        <v/>
      </c>
      <c r="AC53" s="15" t="str">
        <f aca="false">IF(OR(C53&lt;&gt;"Closed",D53="",F53=""),"",IF(AC11&gt;D53,"",AB113*Loans!C7/12))</f>
        <v/>
      </c>
      <c r="AD53" s="15" t="str">
        <f aca="false">IF(OR(C53&lt;&gt;"Closed",D53="",F53=""),"",IF(AD11&gt;D53,"",AC113*Loans!C7/12))</f>
        <v/>
      </c>
      <c r="AE53" s="15" t="str">
        <f aca="false">IF(OR(C53&lt;&gt;"Closed",D53="",F53=""),"",IF(AE11&gt;D53,"",AD113*Loans!C7/12))</f>
        <v/>
      </c>
      <c r="AF53" s="15" t="str">
        <f aca="false">IF(OR(C53&lt;&gt;"Closed",D53="",F53=""),"",IF(AF11&gt;D53,"",AE113*Loans!C7/12))</f>
        <v/>
      </c>
      <c r="AG53" s="15" t="str">
        <f aca="false">IF(OR(C53&lt;&gt;"Closed",D53="",F53=""),"",IF(AG11&gt;D53,"",AF113*Loans!C7/12))</f>
        <v/>
      </c>
      <c r="AH53" s="15" t="str">
        <f aca="false">IF(OR(C53&lt;&gt;"Closed",D53="",F53=""),"",IF(AH11&gt;D53,"",AG113*Loans!C7/12))</f>
        <v/>
      </c>
      <c r="AI53" s="15" t="str">
        <f aca="false">IF(OR(C53&lt;&gt;"Closed",D53="",F53=""),"",IF(AI11&gt;D53,"",AH113*Loans!C7/12))</f>
        <v/>
      </c>
      <c r="AJ53" s="15" t="str">
        <f aca="false">IF(OR(C53&lt;&gt;"Closed",D53="",F53=""),"",IF(AJ11&gt;D53,"",AI113*Loans!C7/12))</f>
        <v/>
      </c>
      <c r="AK53" s="15" t="str">
        <f aca="false">IF(OR(C53&lt;&gt;"Closed",D53="",F53=""),"",IF(AK11&gt;D53,"",AJ113*Loans!C7/12))</f>
        <v/>
      </c>
      <c r="AL53" s="15" t="str">
        <f aca="false">IF(OR(C53&lt;&gt;"Closed",D53="",F53=""),"",IF(AL11&gt;D53,"",AK113*Loans!C7/12))</f>
        <v/>
      </c>
      <c r="AM53" s="15" t="str">
        <f aca="false">IF(OR(C53&lt;&gt;"Closed",D53="",F53=""),"",IF(AM11&gt;D53,"",AL113*Loans!C7/12))</f>
        <v/>
      </c>
      <c r="AN53" s="15" t="str">
        <f aca="false">IF(OR(C53&lt;&gt;"Closed",D53="",F53=""),"",IF(AN11&gt;D53,"",AM113*Loans!C7/12))</f>
        <v/>
      </c>
      <c r="AO53" s="15" t="str">
        <f aca="false">IF(OR(C53&lt;&gt;"Closed",D53="",F53=""),"",IF(AO11&gt;D53,"",AN113*Loans!C7/12))</f>
        <v/>
      </c>
      <c r="AP53" s="15" t="str">
        <f aca="false">IF(OR(C53&lt;&gt;"Closed",D53="",F53=""),"",IF(AP11&gt;D53,"",AO113*Loans!C7/12))</f>
        <v/>
      </c>
      <c r="AQ53" s="15" t="str">
        <f aca="false">IF(OR(C53&lt;&gt;"Closed",D53="",F53=""),"",IF(AQ11&gt;D53,"",AP113*Loans!C7/12))</f>
        <v/>
      </c>
      <c r="AR53" s="15" t="str">
        <f aca="false">IF(OR(C53&lt;&gt;"Closed",D53="",F53=""),"",IF(AR11&gt;D53,"",AQ113*Loans!C7/12))</f>
        <v/>
      </c>
      <c r="AS53" s="15" t="str">
        <f aca="false">IF(OR(C53&lt;&gt;"Closed",D53="",F53=""),"",IF(AS11&gt;D53,"",AR113*Loans!C7/12))</f>
        <v/>
      </c>
      <c r="AT53" s="15" t="str">
        <f aca="false">IF(OR(C53&lt;&gt;"Closed",D53="",F53=""),"",IF(AT11&gt;D53,"",AS113*Loans!C7/12))</f>
        <v/>
      </c>
      <c r="AU53" s="15" t="str">
        <f aca="false">IF(OR(C53&lt;&gt;"Closed",D53="",F53=""),"",IF(AU11&gt;D53,"",AT113*Loans!C7/12))</f>
        <v/>
      </c>
      <c r="AV53" s="15" t="str">
        <f aca="false">IF(OR(C53&lt;&gt;"Closed",D53="",F53=""),"",IF(AV11&gt;D53,"",AU113*Loans!C7/12))</f>
        <v/>
      </c>
      <c r="AW53" s="15" t="str">
        <f aca="false">IF(OR(C53&lt;&gt;"Closed",D53="",F53=""),"",IF(AW11&gt;D53,"",AV113*Loans!C7/12))</f>
        <v/>
      </c>
      <c r="AX53" s="15" t="str">
        <f aca="false">IF(OR(C53&lt;&gt;"Closed",D53="",F53=""),"",IF(AX11&gt;D53,"",AW113*Loans!C7/12))</f>
        <v/>
      </c>
      <c r="AY53" s="15" t="str">
        <f aca="false">IF(OR(C53&lt;&gt;"Closed",D53="",F53=""),"",IF(AY11&gt;D53,"",AX113*Loans!C7/12))</f>
        <v/>
      </c>
      <c r="AZ53" s="15" t="str">
        <f aca="false">IF(OR(C53&lt;&gt;"Closed",D53="",F53=""),"",IF(AZ11&gt;D53,"",AY113*Loans!C7/12))</f>
        <v/>
      </c>
      <c r="BA53" s="15" t="str">
        <f aca="false">IF(OR(C53&lt;&gt;"Closed",D53="",F53=""),"",IF(BA11&gt;D53,"",AZ113*Loans!C7/12))</f>
        <v/>
      </c>
      <c r="BB53" s="15" t="str">
        <f aca="false">IF(OR(C53&lt;&gt;"Closed",D53="",F53=""),"",IF(BB11&gt;D53,"",BA113*Loans!C7/12))</f>
        <v/>
      </c>
      <c r="BC53" s="15" t="str">
        <f aca="false">IF(OR(C53&lt;&gt;"Closed",D53="",F53=""),"",IF(BC11&gt;D53,"",BB113*Loans!C7/12))</f>
        <v/>
      </c>
      <c r="BD53" s="15" t="str">
        <f aca="false">IF(OR(C53&lt;&gt;"Closed",D53="",F53=""),"",IF(BD11&gt;D53,"",BC113*Loans!C7/12))</f>
        <v/>
      </c>
      <c r="BE53" s="15" t="str">
        <f aca="false">IF(OR(C53&lt;&gt;"Closed",D53="",F53=""),"",IF(BE11&gt;D53,"",BD113*Loans!C7/12))</f>
        <v/>
      </c>
      <c r="BF53" s="15" t="str">
        <f aca="false">IF(OR(C53&lt;&gt;"Closed",D53="",F53=""),"",IF(BF11&gt;D53,"",BE113*Loans!C7/12))</f>
        <v/>
      </c>
      <c r="BG53" s="15" t="str">
        <f aca="false">IF(OR(C53&lt;&gt;"Closed",D53="",F53=""),"",IF(BG11&gt;D53,"",BF113*Loans!C7/12))</f>
        <v/>
      </c>
      <c r="BH53" s="15" t="str">
        <f aca="false">IF(OR(C53&lt;&gt;"Closed",D53="",F53=""),"",IF(BH11&gt;D53,"",BG113*Loans!C7/12))</f>
        <v/>
      </c>
      <c r="BI53" s="15" t="str">
        <f aca="false">IF(OR(C53&lt;&gt;"Closed",D53="",F53=""),"",IF(BI11&gt;D53,"",BH113*Loans!C7/12))</f>
        <v/>
      </c>
      <c r="BJ53" s="15" t="str">
        <f aca="false">IF(OR(C53&lt;&gt;"Closed",D53="",F53=""),"",IF(BJ11&gt;D53,"",BI113*Loans!C7/12))</f>
        <v/>
      </c>
      <c r="BK53" s="15" t="str">
        <f aca="false">IF(OR(C53&lt;&gt;"Closed",D53="",F53=""),"",IF(BK11&gt;D53,"",BJ113*Loans!C7/12))</f>
        <v/>
      </c>
      <c r="BL53" s="15" t="str">
        <f aca="false">IF(OR(C53&lt;&gt;"Closed",D53="",F53=""),"",IF(BL11&gt;D53,"",BK113*Loans!C7/12))</f>
        <v/>
      </c>
      <c r="BM53" s="15" t="str">
        <f aca="false">IF(OR(C53&lt;&gt;"Closed",D53="",F53=""),"",IF(BM11&gt;D53,"",BL113*Loans!C7/12))</f>
        <v/>
      </c>
      <c r="BN53" s="15" t="str">
        <f aca="false">IF(OR(C53&lt;&gt;"Closed",D53="",F53=""),"",IF(BN11&gt;D53,"",BM113*Loans!C7/12))</f>
        <v/>
      </c>
      <c r="BO53" s="15" t="str">
        <f aca="false">IF(OR(C53&lt;&gt;"Closed",D53="",F53=""),"",IF(BO11&gt;D53,"",BN113*Loans!C7/12))</f>
        <v/>
      </c>
      <c r="BP53" s="15" t="str">
        <f aca="false">IF(OR(C53&lt;&gt;"Closed",D53="",F53=""),"",IF(BP11&gt;D53,"",BO113*Loans!C7/12))</f>
        <v/>
      </c>
    </row>
    <row r="54" customFormat="false" ht="15" hidden="false" customHeight="false" outlineLevel="0" collapsed="false">
      <c r="A54" s="29" t="str">
        <f aca="false">IF(Loans!A54="","",Loans!A54)</f>
        <v/>
      </c>
      <c r="B54" s="29" t="str">
        <f aca="false">IF(Loans!B54="","",Loans!B54)</f>
        <v/>
      </c>
      <c r="C54" s="29" t="str">
        <f aca="false">IF(Loans!C54="","",Loans!C54)</f>
        <v/>
      </c>
      <c r="D54" s="16" t="str">
        <f aca="false">IF(Loans!I54="","",Loans!I54)</f>
        <v/>
      </c>
      <c r="E54" s="17" t="str">
        <f aca="false">IF(Loans!E54="","",Loans!E54)</f>
        <v/>
      </c>
      <c r="F54" s="15" t="str">
        <f aca="false">IF(Loans!F54="","",Loans!F54)</f>
        <v/>
      </c>
      <c r="G54" s="15" t="str">
        <f aca="false">IF(OR(C54&lt;&gt;"Closed",D54="",F54=""),"",PMT(Loans!C7/12,D54,-F54))</f>
        <v/>
      </c>
      <c r="H54" s="15" t="str">
        <f aca="false">IF(C54&lt;&gt;"Closed","",SUM(I54:BP54))</f>
        <v/>
      </c>
      <c r="I54" s="15" t="str">
        <f aca="false">IF(OR(C54&lt;&gt;"Closed",D54="",F54=""),"",IF(I11&gt;D54,"",F54*Loans!C7/12))</f>
        <v/>
      </c>
      <c r="J54" s="15" t="str">
        <f aca="false">IF(OR(C54&lt;&gt;"Closed",D54="",F54=""),"",IF(J11&gt;D54,"",I114*Loans!C7/12))</f>
        <v/>
      </c>
      <c r="K54" s="15" t="str">
        <f aca="false">IF(OR(C54&lt;&gt;"Closed",D54="",F54=""),"",IF(K11&gt;D54,"",J114*Loans!C7/12))</f>
        <v/>
      </c>
      <c r="L54" s="15" t="str">
        <f aca="false">IF(OR(C54&lt;&gt;"Closed",D54="",F54=""),"",IF(L11&gt;D54,"",K114*Loans!C7/12))</f>
        <v/>
      </c>
      <c r="M54" s="15" t="str">
        <f aca="false">IF(OR(C54&lt;&gt;"Closed",D54="",F54=""),"",IF(M11&gt;D54,"",L114*Loans!C7/12))</f>
        <v/>
      </c>
      <c r="N54" s="15" t="str">
        <f aca="false">IF(OR(C54&lt;&gt;"Closed",D54="",F54=""),"",IF(N11&gt;D54,"",M114*Loans!C7/12))</f>
        <v/>
      </c>
      <c r="O54" s="15" t="str">
        <f aca="false">IF(OR(C54&lt;&gt;"Closed",D54="",F54=""),"",IF(O11&gt;D54,"",N114*Loans!C7/12))</f>
        <v/>
      </c>
      <c r="P54" s="15" t="str">
        <f aca="false">IF(OR(C54&lt;&gt;"Closed",D54="",F54=""),"",IF(P11&gt;D54,"",O114*Loans!C7/12))</f>
        <v/>
      </c>
      <c r="Q54" s="15" t="str">
        <f aca="false">IF(OR(C54&lt;&gt;"Closed",D54="",F54=""),"",IF(Q11&gt;D54,"",P114*Loans!C7/12))</f>
        <v/>
      </c>
      <c r="R54" s="15" t="str">
        <f aca="false">IF(OR(C54&lt;&gt;"Closed",D54="",F54=""),"",IF(R11&gt;D54,"",Q114*Loans!C7/12))</f>
        <v/>
      </c>
      <c r="S54" s="15" t="str">
        <f aca="false">IF(OR(C54&lt;&gt;"Closed",D54="",F54=""),"",IF(S11&gt;D54,"",R114*Loans!C7/12))</f>
        <v/>
      </c>
      <c r="T54" s="15" t="str">
        <f aca="false">IF(OR(C54&lt;&gt;"Closed",D54="",F54=""),"",IF(T11&gt;D54,"",S114*Loans!C7/12))</f>
        <v/>
      </c>
      <c r="U54" s="15" t="str">
        <f aca="false">IF(OR(C54&lt;&gt;"Closed",D54="",F54=""),"",IF(U11&gt;D54,"",T114*Loans!C7/12))</f>
        <v/>
      </c>
      <c r="V54" s="15" t="str">
        <f aca="false">IF(OR(C54&lt;&gt;"Closed",D54="",F54=""),"",IF(V11&gt;D54,"",U114*Loans!C7/12))</f>
        <v/>
      </c>
      <c r="W54" s="15" t="str">
        <f aca="false">IF(OR(C54&lt;&gt;"Closed",D54="",F54=""),"",IF(W11&gt;D54,"",V114*Loans!C7/12))</f>
        <v/>
      </c>
      <c r="X54" s="15" t="str">
        <f aca="false">IF(OR(C54&lt;&gt;"Closed",D54="",F54=""),"",IF(X11&gt;D54,"",W114*Loans!C7/12))</f>
        <v/>
      </c>
      <c r="Y54" s="15" t="str">
        <f aca="false">IF(OR(C54&lt;&gt;"Closed",D54="",F54=""),"",IF(Y11&gt;D54,"",X114*Loans!C7/12))</f>
        <v/>
      </c>
      <c r="Z54" s="15" t="str">
        <f aca="false">IF(OR(C54&lt;&gt;"Closed",D54="",F54=""),"",IF(Z11&gt;D54,"",Y114*Loans!C7/12))</f>
        <v/>
      </c>
      <c r="AA54" s="15" t="str">
        <f aca="false">IF(OR(C54&lt;&gt;"Closed",D54="",F54=""),"",IF(AA11&gt;D54,"",Z114*Loans!C7/12))</f>
        <v/>
      </c>
      <c r="AB54" s="15" t="str">
        <f aca="false">IF(OR(C54&lt;&gt;"Closed",D54="",F54=""),"",IF(AB11&gt;D54,"",AA114*Loans!C7/12))</f>
        <v/>
      </c>
      <c r="AC54" s="15" t="str">
        <f aca="false">IF(OR(C54&lt;&gt;"Closed",D54="",F54=""),"",IF(AC11&gt;D54,"",AB114*Loans!C7/12))</f>
        <v/>
      </c>
      <c r="AD54" s="15" t="str">
        <f aca="false">IF(OR(C54&lt;&gt;"Closed",D54="",F54=""),"",IF(AD11&gt;D54,"",AC114*Loans!C7/12))</f>
        <v/>
      </c>
      <c r="AE54" s="15" t="str">
        <f aca="false">IF(OR(C54&lt;&gt;"Closed",D54="",F54=""),"",IF(AE11&gt;D54,"",AD114*Loans!C7/12))</f>
        <v/>
      </c>
      <c r="AF54" s="15" t="str">
        <f aca="false">IF(OR(C54&lt;&gt;"Closed",D54="",F54=""),"",IF(AF11&gt;D54,"",AE114*Loans!C7/12))</f>
        <v/>
      </c>
      <c r="AG54" s="15" t="str">
        <f aca="false">IF(OR(C54&lt;&gt;"Closed",D54="",F54=""),"",IF(AG11&gt;D54,"",AF114*Loans!C7/12))</f>
        <v/>
      </c>
      <c r="AH54" s="15" t="str">
        <f aca="false">IF(OR(C54&lt;&gt;"Closed",D54="",F54=""),"",IF(AH11&gt;D54,"",AG114*Loans!C7/12))</f>
        <v/>
      </c>
      <c r="AI54" s="15" t="str">
        <f aca="false">IF(OR(C54&lt;&gt;"Closed",D54="",F54=""),"",IF(AI11&gt;D54,"",AH114*Loans!C7/12))</f>
        <v/>
      </c>
      <c r="AJ54" s="15" t="str">
        <f aca="false">IF(OR(C54&lt;&gt;"Closed",D54="",F54=""),"",IF(AJ11&gt;D54,"",AI114*Loans!C7/12))</f>
        <v/>
      </c>
      <c r="AK54" s="15" t="str">
        <f aca="false">IF(OR(C54&lt;&gt;"Closed",D54="",F54=""),"",IF(AK11&gt;D54,"",AJ114*Loans!C7/12))</f>
        <v/>
      </c>
      <c r="AL54" s="15" t="str">
        <f aca="false">IF(OR(C54&lt;&gt;"Closed",D54="",F54=""),"",IF(AL11&gt;D54,"",AK114*Loans!C7/12))</f>
        <v/>
      </c>
      <c r="AM54" s="15" t="str">
        <f aca="false">IF(OR(C54&lt;&gt;"Closed",D54="",F54=""),"",IF(AM11&gt;D54,"",AL114*Loans!C7/12))</f>
        <v/>
      </c>
      <c r="AN54" s="15" t="str">
        <f aca="false">IF(OR(C54&lt;&gt;"Closed",D54="",F54=""),"",IF(AN11&gt;D54,"",AM114*Loans!C7/12))</f>
        <v/>
      </c>
      <c r="AO54" s="15" t="str">
        <f aca="false">IF(OR(C54&lt;&gt;"Closed",D54="",F54=""),"",IF(AO11&gt;D54,"",AN114*Loans!C7/12))</f>
        <v/>
      </c>
      <c r="AP54" s="15" t="str">
        <f aca="false">IF(OR(C54&lt;&gt;"Closed",D54="",F54=""),"",IF(AP11&gt;D54,"",AO114*Loans!C7/12))</f>
        <v/>
      </c>
      <c r="AQ54" s="15" t="str">
        <f aca="false">IF(OR(C54&lt;&gt;"Closed",D54="",F54=""),"",IF(AQ11&gt;D54,"",AP114*Loans!C7/12))</f>
        <v/>
      </c>
      <c r="AR54" s="15" t="str">
        <f aca="false">IF(OR(C54&lt;&gt;"Closed",D54="",F54=""),"",IF(AR11&gt;D54,"",AQ114*Loans!C7/12))</f>
        <v/>
      </c>
      <c r="AS54" s="15" t="str">
        <f aca="false">IF(OR(C54&lt;&gt;"Closed",D54="",F54=""),"",IF(AS11&gt;D54,"",AR114*Loans!C7/12))</f>
        <v/>
      </c>
      <c r="AT54" s="15" t="str">
        <f aca="false">IF(OR(C54&lt;&gt;"Closed",D54="",F54=""),"",IF(AT11&gt;D54,"",AS114*Loans!C7/12))</f>
        <v/>
      </c>
      <c r="AU54" s="15" t="str">
        <f aca="false">IF(OR(C54&lt;&gt;"Closed",D54="",F54=""),"",IF(AU11&gt;D54,"",AT114*Loans!C7/12))</f>
        <v/>
      </c>
      <c r="AV54" s="15" t="str">
        <f aca="false">IF(OR(C54&lt;&gt;"Closed",D54="",F54=""),"",IF(AV11&gt;D54,"",AU114*Loans!C7/12))</f>
        <v/>
      </c>
      <c r="AW54" s="15" t="str">
        <f aca="false">IF(OR(C54&lt;&gt;"Closed",D54="",F54=""),"",IF(AW11&gt;D54,"",AV114*Loans!C7/12))</f>
        <v/>
      </c>
      <c r="AX54" s="15" t="str">
        <f aca="false">IF(OR(C54&lt;&gt;"Closed",D54="",F54=""),"",IF(AX11&gt;D54,"",AW114*Loans!C7/12))</f>
        <v/>
      </c>
      <c r="AY54" s="15" t="str">
        <f aca="false">IF(OR(C54&lt;&gt;"Closed",D54="",F54=""),"",IF(AY11&gt;D54,"",AX114*Loans!C7/12))</f>
        <v/>
      </c>
      <c r="AZ54" s="15" t="str">
        <f aca="false">IF(OR(C54&lt;&gt;"Closed",D54="",F54=""),"",IF(AZ11&gt;D54,"",AY114*Loans!C7/12))</f>
        <v/>
      </c>
      <c r="BA54" s="15" t="str">
        <f aca="false">IF(OR(C54&lt;&gt;"Closed",D54="",F54=""),"",IF(BA11&gt;D54,"",AZ114*Loans!C7/12))</f>
        <v/>
      </c>
      <c r="BB54" s="15" t="str">
        <f aca="false">IF(OR(C54&lt;&gt;"Closed",D54="",F54=""),"",IF(BB11&gt;D54,"",BA114*Loans!C7/12))</f>
        <v/>
      </c>
      <c r="BC54" s="15" t="str">
        <f aca="false">IF(OR(C54&lt;&gt;"Closed",D54="",F54=""),"",IF(BC11&gt;D54,"",BB114*Loans!C7/12))</f>
        <v/>
      </c>
      <c r="BD54" s="15" t="str">
        <f aca="false">IF(OR(C54&lt;&gt;"Closed",D54="",F54=""),"",IF(BD11&gt;D54,"",BC114*Loans!C7/12))</f>
        <v/>
      </c>
      <c r="BE54" s="15" t="str">
        <f aca="false">IF(OR(C54&lt;&gt;"Closed",D54="",F54=""),"",IF(BE11&gt;D54,"",BD114*Loans!C7/12))</f>
        <v/>
      </c>
      <c r="BF54" s="15" t="str">
        <f aca="false">IF(OR(C54&lt;&gt;"Closed",D54="",F54=""),"",IF(BF11&gt;D54,"",BE114*Loans!C7/12))</f>
        <v/>
      </c>
      <c r="BG54" s="15" t="str">
        <f aca="false">IF(OR(C54&lt;&gt;"Closed",D54="",F54=""),"",IF(BG11&gt;D54,"",BF114*Loans!C7/12))</f>
        <v/>
      </c>
      <c r="BH54" s="15" t="str">
        <f aca="false">IF(OR(C54&lt;&gt;"Closed",D54="",F54=""),"",IF(BH11&gt;D54,"",BG114*Loans!C7/12))</f>
        <v/>
      </c>
      <c r="BI54" s="15" t="str">
        <f aca="false">IF(OR(C54&lt;&gt;"Closed",D54="",F54=""),"",IF(BI11&gt;D54,"",BH114*Loans!C7/12))</f>
        <v/>
      </c>
      <c r="BJ54" s="15" t="str">
        <f aca="false">IF(OR(C54&lt;&gt;"Closed",D54="",F54=""),"",IF(BJ11&gt;D54,"",BI114*Loans!C7/12))</f>
        <v/>
      </c>
      <c r="BK54" s="15" t="str">
        <f aca="false">IF(OR(C54&lt;&gt;"Closed",D54="",F54=""),"",IF(BK11&gt;D54,"",BJ114*Loans!C7/12))</f>
        <v/>
      </c>
      <c r="BL54" s="15" t="str">
        <f aca="false">IF(OR(C54&lt;&gt;"Closed",D54="",F54=""),"",IF(BL11&gt;D54,"",BK114*Loans!C7/12))</f>
        <v/>
      </c>
      <c r="BM54" s="15" t="str">
        <f aca="false">IF(OR(C54&lt;&gt;"Closed",D54="",F54=""),"",IF(BM11&gt;D54,"",BL114*Loans!C7/12))</f>
        <v/>
      </c>
      <c r="BN54" s="15" t="str">
        <f aca="false">IF(OR(C54&lt;&gt;"Closed",D54="",F54=""),"",IF(BN11&gt;D54,"",BM114*Loans!C7/12))</f>
        <v/>
      </c>
      <c r="BO54" s="15" t="str">
        <f aca="false">IF(OR(C54&lt;&gt;"Closed",D54="",F54=""),"",IF(BO11&gt;D54,"",BN114*Loans!C7/12))</f>
        <v/>
      </c>
      <c r="BP54" s="15" t="str">
        <f aca="false">IF(OR(C54&lt;&gt;"Closed",D54="",F54=""),"",IF(BP11&gt;D54,"",BO114*Loans!C7/12))</f>
        <v/>
      </c>
    </row>
    <row r="55" customFormat="false" ht="15" hidden="false" customHeight="false" outlineLevel="0" collapsed="false">
      <c r="A55" s="29" t="str">
        <f aca="false">IF(Loans!A55="","",Loans!A55)</f>
        <v/>
      </c>
      <c r="B55" s="29" t="str">
        <f aca="false">IF(Loans!B55="","",Loans!B55)</f>
        <v/>
      </c>
      <c r="C55" s="29" t="str">
        <f aca="false">IF(Loans!C55="","",Loans!C55)</f>
        <v/>
      </c>
      <c r="D55" s="16" t="str">
        <f aca="false">IF(Loans!I55="","",Loans!I55)</f>
        <v/>
      </c>
      <c r="E55" s="17" t="str">
        <f aca="false">IF(Loans!E55="","",Loans!E55)</f>
        <v/>
      </c>
      <c r="F55" s="15" t="str">
        <f aca="false">IF(Loans!F55="","",Loans!F55)</f>
        <v/>
      </c>
      <c r="G55" s="15" t="str">
        <f aca="false">IF(OR(C55&lt;&gt;"Closed",D55="",F55=""),"",PMT(Loans!C7/12,D55,-F55))</f>
        <v/>
      </c>
      <c r="H55" s="15" t="str">
        <f aca="false">IF(C55&lt;&gt;"Closed","",SUM(I55:BP55))</f>
        <v/>
      </c>
      <c r="I55" s="15" t="str">
        <f aca="false">IF(OR(C55&lt;&gt;"Closed",D55="",F55=""),"",IF(I11&gt;D55,"",F55*Loans!C7/12))</f>
        <v/>
      </c>
      <c r="J55" s="15" t="str">
        <f aca="false">IF(OR(C55&lt;&gt;"Closed",D55="",F55=""),"",IF(J11&gt;D55,"",I115*Loans!C7/12))</f>
        <v/>
      </c>
      <c r="K55" s="15" t="str">
        <f aca="false">IF(OR(C55&lt;&gt;"Closed",D55="",F55=""),"",IF(K11&gt;D55,"",J115*Loans!C7/12))</f>
        <v/>
      </c>
      <c r="L55" s="15" t="str">
        <f aca="false">IF(OR(C55&lt;&gt;"Closed",D55="",F55=""),"",IF(L11&gt;D55,"",K115*Loans!C7/12))</f>
        <v/>
      </c>
      <c r="M55" s="15" t="str">
        <f aca="false">IF(OR(C55&lt;&gt;"Closed",D55="",F55=""),"",IF(M11&gt;D55,"",L115*Loans!C7/12))</f>
        <v/>
      </c>
      <c r="N55" s="15" t="str">
        <f aca="false">IF(OR(C55&lt;&gt;"Closed",D55="",F55=""),"",IF(N11&gt;D55,"",M115*Loans!C7/12))</f>
        <v/>
      </c>
      <c r="O55" s="15" t="str">
        <f aca="false">IF(OR(C55&lt;&gt;"Closed",D55="",F55=""),"",IF(O11&gt;D55,"",N115*Loans!C7/12))</f>
        <v/>
      </c>
      <c r="P55" s="15" t="str">
        <f aca="false">IF(OR(C55&lt;&gt;"Closed",D55="",F55=""),"",IF(P11&gt;D55,"",O115*Loans!C7/12))</f>
        <v/>
      </c>
      <c r="Q55" s="15" t="str">
        <f aca="false">IF(OR(C55&lt;&gt;"Closed",D55="",F55=""),"",IF(Q11&gt;D55,"",P115*Loans!C7/12))</f>
        <v/>
      </c>
      <c r="R55" s="15" t="str">
        <f aca="false">IF(OR(C55&lt;&gt;"Closed",D55="",F55=""),"",IF(R11&gt;D55,"",Q115*Loans!C7/12))</f>
        <v/>
      </c>
      <c r="S55" s="15" t="str">
        <f aca="false">IF(OR(C55&lt;&gt;"Closed",D55="",F55=""),"",IF(S11&gt;D55,"",R115*Loans!C7/12))</f>
        <v/>
      </c>
      <c r="T55" s="15" t="str">
        <f aca="false">IF(OR(C55&lt;&gt;"Closed",D55="",F55=""),"",IF(T11&gt;D55,"",S115*Loans!C7/12))</f>
        <v/>
      </c>
      <c r="U55" s="15" t="str">
        <f aca="false">IF(OR(C55&lt;&gt;"Closed",D55="",F55=""),"",IF(U11&gt;D55,"",T115*Loans!C7/12))</f>
        <v/>
      </c>
      <c r="V55" s="15" t="str">
        <f aca="false">IF(OR(C55&lt;&gt;"Closed",D55="",F55=""),"",IF(V11&gt;D55,"",U115*Loans!C7/12))</f>
        <v/>
      </c>
      <c r="W55" s="15" t="str">
        <f aca="false">IF(OR(C55&lt;&gt;"Closed",D55="",F55=""),"",IF(W11&gt;D55,"",V115*Loans!C7/12))</f>
        <v/>
      </c>
      <c r="X55" s="15" t="str">
        <f aca="false">IF(OR(C55&lt;&gt;"Closed",D55="",F55=""),"",IF(X11&gt;D55,"",W115*Loans!C7/12))</f>
        <v/>
      </c>
      <c r="Y55" s="15" t="str">
        <f aca="false">IF(OR(C55&lt;&gt;"Closed",D55="",F55=""),"",IF(Y11&gt;D55,"",X115*Loans!C7/12))</f>
        <v/>
      </c>
      <c r="Z55" s="15" t="str">
        <f aca="false">IF(OR(C55&lt;&gt;"Closed",D55="",F55=""),"",IF(Z11&gt;D55,"",Y115*Loans!C7/12))</f>
        <v/>
      </c>
      <c r="AA55" s="15" t="str">
        <f aca="false">IF(OR(C55&lt;&gt;"Closed",D55="",F55=""),"",IF(AA11&gt;D55,"",Z115*Loans!C7/12))</f>
        <v/>
      </c>
      <c r="AB55" s="15" t="str">
        <f aca="false">IF(OR(C55&lt;&gt;"Closed",D55="",F55=""),"",IF(AB11&gt;D55,"",AA115*Loans!C7/12))</f>
        <v/>
      </c>
      <c r="AC55" s="15" t="str">
        <f aca="false">IF(OR(C55&lt;&gt;"Closed",D55="",F55=""),"",IF(AC11&gt;D55,"",AB115*Loans!C7/12))</f>
        <v/>
      </c>
      <c r="AD55" s="15" t="str">
        <f aca="false">IF(OR(C55&lt;&gt;"Closed",D55="",F55=""),"",IF(AD11&gt;D55,"",AC115*Loans!C7/12))</f>
        <v/>
      </c>
      <c r="AE55" s="15" t="str">
        <f aca="false">IF(OR(C55&lt;&gt;"Closed",D55="",F55=""),"",IF(AE11&gt;D55,"",AD115*Loans!C7/12))</f>
        <v/>
      </c>
      <c r="AF55" s="15" t="str">
        <f aca="false">IF(OR(C55&lt;&gt;"Closed",D55="",F55=""),"",IF(AF11&gt;D55,"",AE115*Loans!C7/12))</f>
        <v/>
      </c>
      <c r="AG55" s="15" t="str">
        <f aca="false">IF(OR(C55&lt;&gt;"Closed",D55="",F55=""),"",IF(AG11&gt;D55,"",AF115*Loans!C7/12))</f>
        <v/>
      </c>
      <c r="AH55" s="15" t="str">
        <f aca="false">IF(OR(C55&lt;&gt;"Closed",D55="",F55=""),"",IF(AH11&gt;D55,"",AG115*Loans!C7/12))</f>
        <v/>
      </c>
      <c r="AI55" s="15" t="str">
        <f aca="false">IF(OR(C55&lt;&gt;"Closed",D55="",F55=""),"",IF(AI11&gt;D55,"",AH115*Loans!C7/12))</f>
        <v/>
      </c>
      <c r="AJ55" s="15" t="str">
        <f aca="false">IF(OR(C55&lt;&gt;"Closed",D55="",F55=""),"",IF(AJ11&gt;D55,"",AI115*Loans!C7/12))</f>
        <v/>
      </c>
      <c r="AK55" s="15" t="str">
        <f aca="false">IF(OR(C55&lt;&gt;"Closed",D55="",F55=""),"",IF(AK11&gt;D55,"",AJ115*Loans!C7/12))</f>
        <v/>
      </c>
      <c r="AL55" s="15" t="str">
        <f aca="false">IF(OR(C55&lt;&gt;"Closed",D55="",F55=""),"",IF(AL11&gt;D55,"",AK115*Loans!C7/12))</f>
        <v/>
      </c>
      <c r="AM55" s="15" t="str">
        <f aca="false">IF(OR(C55&lt;&gt;"Closed",D55="",F55=""),"",IF(AM11&gt;D55,"",AL115*Loans!C7/12))</f>
        <v/>
      </c>
      <c r="AN55" s="15" t="str">
        <f aca="false">IF(OR(C55&lt;&gt;"Closed",D55="",F55=""),"",IF(AN11&gt;D55,"",AM115*Loans!C7/12))</f>
        <v/>
      </c>
      <c r="AO55" s="15" t="str">
        <f aca="false">IF(OR(C55&lt;&gt;"Closed",D55="",F55=""),"",IF(AO11&gt;D55,"",AN115*Loans!C7/12))</f>
        <v/>
      </c>
      <c r="AP55" s="15" t="str">
        <f aca="false">IF(OR(C55&lt;&gt;"Closed",D55="",F55=""),"",IF(AP11&gt;D55,"",AO115*Loans!C7/12))</f>
        <v/>
      </c>
      <c r="AQ55" s="15" t="str">
        <f aca="false">IF(OR(C55&lt;&gt;"Closed",D55="",F55=""),"",IF(AQ11&gt;D55,"",AP115*Loans!C7/12))</f>
        <v/>
      </c>
      <c r="AR55" s="15" t="str">
        <f aca="false">IF(OR(C55&lt;&gt;"Closed",D55="",F55=""),"",IF(AR11&gt;D55,"",AQ115*Loans!C7/12))</f>
        <v/>
      </c>
      <c r="AS55" s="15" t="str">
        <f aca="false">IF(OR(C55&lt;&gt;"Closed",D55="",F55=""),"",IF(AS11&gt;D55,"",AR115*Loans!C7/12))</f>
        <v/>
      </c>
      <c r="AT55" s="15" t="str">
        <f aca="false">IF(OR(C55&lt;&gt;"Closed",D55="",F55=""),"",IF(AT11&gt;D55,"",AS115*Loans!C7/12))</f>
        <v/>
      </c>
      <c r="AU55" s="15" t="str">
        <f aca="false">IF(OR(C55&lt;&gt;"Closed",D55="",F55=""),"",IF(AU11&gt;D55,"",AT115*Loans!C7/12))</f>
        <v/>
      </c>
      <c r="AV55" s="15" t="str">
        <f aca="false">IF(OR(C55&lt;&gt;"Closed",D55="",F55=""),"",IF(AV11&gt;D55,"",AU115*Loans!C7/12))</f>
        <v/>
      </c>
      <c r="AW55" s="15" t="str">
        <f aca="false">IF(OR(C55&lt;&gt;"Closed",D55="",F55=""),"",IF(AW11&gt;D55,"",AV115*Loans!C7/12))</f>
        <v/>
      </c>
      <c r="AX55" s="15" t="str">
        <f aca="false">IF(OR(C55&lt;&gt;"Closed",D55="",F55=""),"",IF(AX11&gt;D55,"",AW115*Loans!C7/12))</f>
        <v/>
      </c>
      <c r="AY55" s="15" t="str">
        <f aca="false">IF(OR(C55&lt;&gt;"Closed",D55="",F55=""),"",IF(AY11&gt;D55,"",AX115*Loans!C7/12))</f>
        <v/>
      </c>
      <c r="AZ55" s="15" t="str">
        <f aca="false">IF(OR(C55&lt;&gt;"Closed",D55="",F55=""),"",IF(AZ11&gt;D55,"",AY115*Loans!C7/12))</f>
        <v/>
      </c>
      <c r="BA55" s="15" t="str">
        <f aca="false">IF(OR(C55&lt;&gt;"Closed",D55="",F55=""),"",IF(BA11&gt;D55,"",AZ115*Loans!C7/12))</f>
        <v/>
      </c>
      <c r="BB55" s="15" t="str">
        <f aca="false">IF(OR(C55&lt;&gt;"Closed",D55="",F55=""),"",IF(BB11&gt;D55,"",BA115*Loans!C7/12))</f>
        <v/>
      </c>
      <c r="BC55" s="15" t="str">
        <f aca="false">IF(OR(C55&lt;&gt;"Closed",D55="",F55=""),"",IF(BC11&gt;D55,"",BB115*Loans!C7/12))</f>
        <v/>
      </c>
      <c r="BD55" s="15" t="str">
        <f aca="false">IF(OR(C55&lt;&gt;"Closed",D55="",F55=""),"",IF(BD11&gt;D55,"",BC115*Loans!C7/12))</f>
        <v/>
      </c>
      <c r="BE55" s="15" t="str">
        <f aca="false">IF(OR(C55&lt;&gt;"Closed",D55="",F55=""),"",IF(BE11&gt;D55,"",BD115*Loans!C7/12))</f>
        <v/>
      </c>
      <c r="BF55" s="15" t="str">
        <f aca="false">IF(OR(C55&lt;&gt;"Closed",D55="",F55=""),"",IF(BF11&gt;D55,"",BE115*Loans!C7/12))</f>
        <v/>
      </c>
      <c r="BG55" s="15" t="str">
        <f aca="false">IF(OR(C55&lt;&gt;"Closed",D55="",F55=""),"",IF(BG11&gt;D55,"",BF115*Loans!C7/12))</f>
        <v/>
      </c>
      <c r="BH55" s="15" t="str">
        <f aca="false">IF(OR(C55&lt;&gt;"Closed",D55="",F55=""),"",IF(BH11&gt;D55,"",BG115*Loans!C7/12))</f>
        <v/>
      </c>
      <c r="BI55" s="15" t="str">
        <f aca="false">IF(OR(C55&lt;&gt;"Closed",D55="",F55=""),"",IF(BI11&gt;D55,"",BH115*Loans!C7/12))</f>
        <v/>
      </c>
      <c r="BJ55" s="15" t="str">
        <f aca="false">IF(OR(C55&lt;&gt;"Closed",D55="",F55=""),"",IF(BJ11&gt;D55,"",BI115*Loans!C7/12))</f>
        <v/>
      </c>
      <c r="BK55" s="15" t="str">
        <f aca="false">IF(OR(C55&lt;&gt;"Closed",D55="",F55=""),"",IF(BK11&gt;D55,"",BJ115*Loans!C7/12))</f>
        <v/>
      </c>
      <c r="BL55" s="15" t="str">
        <f aca="false">IF(OR(C55&lt;&gt;"Closed",D55="",F55=""),"",IF(BL11&gt;D55,"",BK115*Loans!C7/12))</f>
        <v/>
      </c>
      <c r="BM55" s="15" t="str">
        <f aca="false">IF(OR(C55&lt;&gt;"Closed",D55="",F55=""),"",IF(BM11&gt;D55,"",BL115*Loans!C7/12))</f>
        <v/>
      </c>
      <c r="BN55" s="15" t="str">
        <f aca="false">IF(OR(C55&lt;&gt;"Closed",D55="",F55=""),"",IF(BN11&gt;D55,"",BM115*Loans!C7/12))</f>
        <v/>
      </c>
      <c r="BO55" s="15" t="str">
        <f aca="false">IF(OR(C55&lt;&gt;"Closed",D55="",F55=""),"",IF(BO11&gt;D55,"",BN115*Loans!C7/12))</f>
        <v/>
      </c>
      <c r="BP55" s="15" t="str">
        <f aca="false">IF(OR(C55&lt;&gt;"Closed",D55="",F55=""),"",IF(BP11&gt;D55,"",BO115*Loans!C7/12))</f>
        <v/>
      </c>
    </row>
    <row r="56" customFormat="false" ht="15" hidden="false" customHeight="false" outlineLevel="0" collapsed="false">
      <c r="A56" s="29" t="str">
        <f aca="false">IF(Loans!A56="","",Loans!A56)</f>
        <v/>
      </c>
      <c r="B56" s="29" t="str">
        <f aca="false">IF(Loans!B56="","",Loans!B56)</f>
        <v/>
      </c>
      <c r="C56" s="29" t="str">
        <f aca="false">IF(Loans!C56="","",Loans!C56)</f>
        <v/>
      </c>
      <c r="D56" s="16" t="str">
        <f aca="false">IF(Loans!I56="","",Loans!I56)</f>
        <v/>
      </c>
      <c r="E56" s="17" t="str">
        <f aca="false">IF(Loans!E56="","",Loans!E56)</f>
        <v/>
      </c>
      <c r="F56" s="15" t="str">
        <f aca="false">IF(Loans!F56="","",Loans!F56)</f>
        <v/>
      </c>
      <c r="G56" s="15" t="str">
        <f aca="false">IF(OR(C56&lt;&gt;"Closed",D56="",F56=""),"",PMT(Loans!C7/12,D56,-F56))</f>
        <v/>
      </c>
      <c r="H56" s="15" t="str">
        <f aca="false">IF(C56&lt;&gt;"Closed","",SUM(I56:BP56))</f>
        <v/>
      </c>
      <c r="I56" s="15" t="str">
        <f aca="false">IF(OR(C56&lt;&gt;"Closed",D56="",F56=""),"",IF(I11&gt;D56,"",F56*Loans!C7/12))</f>
        <v/>
      </c>
      <c r="J56" s="15" t="str">
        <f aca="false">IF(OR(C56&lt;&gt;"Closed",D56="",F56=""),"",IF(J11&gt;D56,"",I116*Loans!C7/12))</f>
        <v/>
      </c>
      <c r="K56" s="15" t="str">
        <f aca="false">IF(OR(C56&lt;&gt;"Closed",D56="",F56=""),"",IF(K11&gt;D56,"",J116*Loans!C7/12))</f>
        <v/>
      </c>
      <c r="L56" s="15" t="str">
        <f aca="false">IF(OR(C56&lt;&gt;"Closed",D56="",F56=""),"",IF(L11&gt;D56,"",K116*Loans!C7/12))</f>
        <v/>
      </c>
      <c r="M56" s="15" t="str">
        <f aca="false">IF(OR(C56&lt;&gt;"Closed",D56="",F56=""),"",IF(M11&gt;D56,"",L116*Loans!C7/12))</f>
        <v/>
      </c>
      <c r="N56" s="15" t="str">
        <f aca="false">IF(OR(C56&lt;&gt;"Closed",D56="",F56=""),"",IF(N11&gt;D56,"",M116*Loans!C7/12))</f>
        <v/>
      </c>
      <c r="O56" s="15" t="str">
        <f aca="false">IF(OR(C56&lt;&gt;"Closed",D56="",F56=""),"",IF(O11&gt;D56,"",N116*Loans!C7/12))</f>
        <v/>
      </c>
      <c r="P56" s="15" t="str">
        <f aca="false">IF(OR(C56&lt;&gt;"Closed",D56="",F56=""),"",IF(P11&gt;D56,"",O116*Loans!C7/12))</f>
        <v/>
      </c>
      <c r="Q56" s="15" t="str">
        <f aca="false">IF(OR(C56&lt;&gt;"Closed",D56="",F56=""),"",IF(Q11&gt;D56,"",P116*Loans!C7/12))</f>
        <v/>
      </c>
      <c r="R56" s="15" t="str">
        <f aca="false">IF(OR(C56&lt;&gt;"Closed",D56="",F56=""),"",IF(R11&gt;D56,"",Q116*Loans!C7/12))</f>
        <v/>
      </c>
      <c r="S56" s="15" t="str">
        <f aca="false">IF(OR(C56&lt;&gt;"Closed",D56="",F56=""),"",IF(S11&gt;D56,"",R116*Loans!C7/12))</f>
        <v/>
      </c>
      <c r="T56" s="15" t="str">
        <f aca="false">IF(OR(C56&lt;&gt;"Closed",D56="",F56=""),"",IF(T11&gt;D56,"",S116*Loans!C7/12))</f>
        <v/>
      </c>
      <c r="U56" s="15" t="str">
        <f aca="false">IF(OR(C56&lt;&gt;"Closed",D56="",F56=""),"",IF(U11&gt;D56,"",T116*Loans!C7/12))</f>
        <v/>
      </c>
      <c r="V56" s="15" t="str">
        <f aca="false">IF(OR(C56&lt;&gt;"Closed",D56="",F56=""),"",IF(V11&gt;D56,"",U116*Loans!C7/12))</f>
        <v/>
      </c>
      <c r="W56" s="15" t="str">
        <f aca="false">IF(OR(C56&lt;&gt;"Closed",D56="",F56=""),"",IF(W11&gt;D56,"",V116*Loans!C7/12))</f>
        <v/>
      </c>
      <c r="X56" s="15" t="str">
        <f aca="false">IF(OR(C56&lt;&gt;"Closed",D56="",F56=""),"",IF(X11&gt;D56,"",W116*Loans!C7/12))</f>
        <v/>
      </c>
      <c r="Y56" s="15" t="str">
        <f aca="false">IF(OR(C56&lt;&gt;"Closed",D56="",F56=""),"",IF(Y11&gt;D56,"",X116*Loans!C7/12))</f>
        <v/>
      </c>
      <c r="Z56" s="15" t="str">
        <f aca="false">IF(OR(C56&lt;&gt;"Closed",D56="",F56=""),"",IF(Z11&gt;D56,"",Y116*Loans!C7/12))</f>
        <v/>
      </c>
      <c r="AA56" s="15" t="str">
        <f aca="false">IF(OR(C56&lt;&gt;"Closed",D56="",F56=""),"",IF(AA11&gt;D56,"",Z116*Loans!C7/12))</f>
        <v/>
      </c>
      <c r="AB56" s="15" t="str">
        <f aca="false">IF(OR(C56&lt;&gt;"Closed",D56="",F56=""),"",IF(AB11&gt;D56,"",AA116*Loans!C7/12))</f>
        <v/>
      </c>
      <c r="AC56" s="15" t="str">
        <f aca="false">IF(OR(C56&lt;&gt;"Closed",D56="",F56=""),"",IF(AC11&gt;D56,"",AB116*Loans!C7/12))</f>
        <v/>
      </c>
      <c r="AD56" s="15" t="str">
        <f aca="false">IF(OR(C56&lt;&gt;"Closed",D56="",F56=""),"",IF(AD11&gt;D56,"",AC116*Loans!C7/12))</f>
        <v/>
      </c>
      <c r="AE56" s="15" t="str">
        <f aca="false">IF(OR(C56&lt;&gt;"Closed",D56="",F56=""),"",IF(AE11&gt;D56,"",AD116*Loans!C7/12))</f>
        <v/>
      </c>
      <c r="AF56" s="15" t="str">
        <f aca="false">IF(OR(C56&lt;&gt;"Closed",D56="",F56=""),"",IF(AF11&gt;D56,"",AE116*Loans!C7/12))</f>
        <v/>
      </c>
      <c r="AG56" s="15" t="str">
        <f aca="false">IF(OR(C56&lt;&gt;"Closed",D56="",F56=""),"",IF(AG11&gt;D56,"",AF116*Loans!C7/12))</f>
        <v/>
      </c>
      <c r="AH56" s="15" t="str">
        <f aca="false">IF(OR(C56&lt;&gt;"Closed",D56="",F56=""),"",IF(AH11&gt;D56,"",AG116*Loans!C7/12))</f>
        <v/>
      </c>
      <c r="AI56" s="15" t="str">
        <f aca="false">IF(OR(C56&lt;&gt;"Closed",D56="",F56=""),"",IF(AI11&gt;D56,"",AH116*Loans!C7/12))</f>
        <v/>
      </c>
      <c r="AJ56" s="15" t="str">
        <f aca="false">IF(OR(C56&lt;&gt;"Closed",D56="",F56=""),"",IF(AJ11&gt;D56,"",AI116*Loans!C7/12))</f>
        <v/>
      </c>
      <c r="AK56" s="15" t="str">
        <f aca="false">IF(OR(C56&lt;&gt;"Closed",D56="",F56=""),"",IF(AK11&gt;D56,"",AJ116*Loans!C7/12))</f>
        <v/>
      </c>
      <c r="AL56" s="15" t="str">
        <f aca="false">IF(OR(C56&lt;&gt;"Closed",D56="",F56=""),"",IF(AL11&gt;D56,"",AK116*Loans!C7/12))</f>
        <v/>
      </c>
      <c r="AM56" s="15" t="str">
        <f aca="false">IF(OR(C56&lt;&gt;"Closed",D56="",F56=""),"",IF(AM11&gt;D56,"",AL116*Loans!C7/12))</f>
        <v/>
      </c>
      <c r="AN56" s="15" t="str">
        <f aca="false">IF(OR(C56&lt;&gt;"Closed",D56="",F56=""),"",IF(AN11&gt;D56,"",AM116*Loans!C7/12))</f>
        <v/>
      </c>
      <c r="AO56" s="15" t="str">
        <f aca="false">IF(OR(C56&lt;&gt;"Closed",D56="",F56=""),"",IF(AO11&gt;D56,"",AN116*Loans!C7/12))</f>
        <v/>
      </c>
      <c r="AP56" s="15" t="str">
        <f aca="false">IF(OR(C56&lt;&gt;"Closed",D56="",F56=""),"",IF(AP11&gt;D56,"",AO116*Loans!C7/12))</f>
        <v/>
      </c>
      <c r="AQ56" s="15" t="str">
        <f aca="false">IF(OR(C56&lt;&gt;"Closed",D56="",F56=""),"",IF(AQ11&gt;D56,"",AP116*Loans!C7/12))</f>
        <v/>
      </c>
      <c r="AR56" s="15" t="str">
        <f aca="false">IF(OR(C56&lt;&gt;"Closed",D56="",F56=""),"",IF(AR11&gt;D56,"",AQ116*Loans!C7/12))</f>
        <v/>
      </c>
      <c r="AS56" s="15" t="str">
        <f aca="false">IF(OR(C56&lt;&gt;"Closed",D56="",F56=""),"",IF(AS11&gt;D56,"",AR116*Loans!C7/12))</f>
        <v/>
      </c>
      <c r="AT56" s="15" t="str">
        <f aca="false">IF(OR(C56&lt;&gt;"Closed",D56="",F56=""),"",IF(AT11&gt;D56,"",AS116*Loans!C7/12))</f>
        <v/>
      </c>
      <c r="AU56" s="15" t="str">
        <f aca="false">IF(OR(C56&lt;&gt;"Closed",D56="",F56=""),"",IF(AU11&gt;D56,"",AT116*Loans!C7/12))</f>
        <v/>
      </c>
      <c r="AV56" s="15" t="str">
        <f aca="false">IF(OR(C56&lt;&gt;"Closed",D56="",F56=""),"",IF(AV11&gt;D56,"",AU116*Loans!C7/12))</f>
        <v/>
      </c>
      <c r="AW56" s="15" t="str">
        <f aca="false">IF(OR(C56&lt;&gt;"Closed",D56="",F56=""),"",IF(AW11&gt;D56,"",AV116*Loans!C7/12))</f>
        <v/>
      </c>
      <c r="AX56" s="15" t="str">
        <f aca="false">IF(OR(C56&lt;&gt;"Closed",D56="",F56=""),"",IF(AX11&gt;D56,"",AW116*Loans!C7/12))</f>
        <v/>
      </c>
      <c r="AY56" s="15" t="str">
        <f aca="false">IF(OR(C56&lt;&gt;"Closed",D56="",F56=""),"",IF(AY11&gt;D56,"",AX116*Loans!C7/12))</f>
        <v/>
      </c>
      <c r="AZ56" s="15" t="str">
        <f aca="false">IF(OR(C56&lt;&gt;"Closed",D56="",F56=""),"",IF(AZ11&gt;D56,"",AY116*Loans!C7/12))</f>
        <v/>
      </c>
      <c r="BA56" s="15" t="str">
        <f aca="false">IF(OR(C56&lt;&gt;"Closed",D56="",F56=""),"",IF(BA11&gt;D56,"",AZ116*Loans!C7/12))</f>
        <v/>
      </c>
      <c r="BB56" s="15" t="str">
        <f aca="false">IF(OR(C56&lt;&gt;"Closed",D56="",F56=""),"",IF(BB11&gt;D56,"",BA116*Loans!C7/12))</f>
        <v/>
      </c>
      <c r="BC56" s="15" t="str">
        <f aca="false">IF(OR(C56&lt;&gt;"Closed",D56="",F56=""),"",IF(BC11&gt;D56,"",BB116*Loans!C7/12))</f>
        <v/>
      </c>
      <c r="BD56" s="15" t="str">
        <f aca="false">IF(OR(C56&lt;&gt;"Closed",D56="",F56=""),"",IF(BD11&gt;D56,"",BC116*Loans!C7/12))</f>
        <v/>
      </c>
      <c r="BE56" s="15" t="str">
        <f aca="false">IF(OR(C56&lt;&gt;"Closed",D56="",F56=""),"",IF(BE11&gt;D56,"",BD116*Loans!C7/12))</f>
        <v/>
      </c>
      <c r="BF56" s="15" t="str">
        <f aca="false">IF(OR(C56&lt;&gt;"Closed",D56="",F56=""),"",IF(BF11&gt;D56,"",BE116*Loans!C7/12))</f>
        <v/>
      </c>
      <c r="BG56" s="15" t="str">
        <f aca="false">IF(OR(C56&lt;&gt;"Closed",D56="",F56=""),"",IF(BG11&gt;D56,"",BF116*Loans!C7/12))</f>
        <v/>
      </c>
      <c r="BH56" s="15" t="str">
        <f aca="false">IF(OR(C56&lt;&gt;"Closed",D56="",F56=""),"",IF(BH11&gt;D56,"",BG116*Loans!C7/12))</f>
        <v/>
      </c>
      <c r="BI56" s="15" t="str">
        <f aca="false">IF(OR(C56&lt;&gt;"Closed",D56="",F56=""),"",IF(BI11&gt;D56,"",BH116*Loans!C7/12))</f>
        <v/>
      </c>
      <c r="BJ56" s="15" t="str">
        <f aca="false">IF(OR(C56&lt;&gt;"Closed",D56="",F56=""),"",IF(BJ11&gt;D56,"",BI116*Loans!C7/12))</f>
        <v/>
      </c>
      <c r="BK56" s="15" t="str">
        <f aca="false">IF(OR(C56&lt;&gt;"Closed",D56="",F56=""),"",IF(BK11&gt;D56,"",BJ116*Loans!C7/12))</f>
        <v/>
      </c>
      <c r="BL56" s="15" t="str">
        <f aca="false">IF(OR(C56&lt;&gt;"Closed",D56="",F56=""),"",IF(BL11&gt;D56,"",BK116*Loans!C7/12))</f>
        <v/>
      </c>
      <c r="BM56" s="15" t="str">
        <f aca="false">IF(OR(C56&lt;&gt;"Closed",D56="",F56=""),"",IF(BM11&gt;D56,"",BL116*Loans!C7/12))</f>
        <v/>
      </c>
      <c r="BN56" s="15" t="str">
        <f aca="false">IF(OR(C56&lt;&gt;"Closed",D56="",F56=""),"",IF(BN11&gt;D56,"",BM116*Loans!C7/12))</f>
        <v/>
      </c>
      <c r="BO56" s="15" t="str">
        <f aca="false">IF(OR(C56&lt;&gt;"Closed",D56="",F56=""),"",IF(BO11&gt;D56,"",BN116*Loans!C7/12))</f>
        <v/>
      </c>
      <c r="BP56" s="15" t="str">
        <f aca="false">IF(OR(C56&lt;&gt;"Closed",D56="",F56=""),"",IF(BP11&gt;D56,"",BO116*Loans!C7/12))</f>
        <v/>
      </c>
    </row>
    <row r="57" customFormat="false" ht="15" hidden="false" customHeight="false" outlineLevel="0" collapsed="false">
      <c r="A57" s="29" t="str">
        <f aca="false">IF(Loans!A57="","",Loans!A57)</f>
        <v/>
      </c>
      <c r="B57" s="29" t="str">
        <f aca="false">IF(Loans!B57="","",Loans!B57)</f>
        <v/>
      </c>
      <c r="C57" s="29" t="str">
        <f aca="false">IF(Loans!C57="","",Loans!C57)</f>
        <v/>
      </c>
      <c r="D57" s="16" t="str">
        <f aca="false">IF(Loans!I57="","",Loans!I57)</f>
        <v/>
      </c>
      <c r="E57" s="17" t="str">
        <f aca="false">IF(Loans!E57="","",Loans!E57)</f>
        <v/>
      </c>
      <c r="F57" s="15" t="str">
        <f aca="false">IF(Loans!F57="","",Loans!F57)</f>
        <v/>
      </c>
      <c r="G57" s="15" t="str">
        <f aca="false">IF(OR(C57&lt;&gt;"Closed",D57="",F57=""),"",PMT(Loans!C7/12,D57,-F57))</f>
        <v/>
      </c>
      <c r="H57" s="15" t="str">
        <f aca="false">IF(C57&lt;&gt;"Closed","",SUM(I57:BP57))</f>
        <v/>
      </c>
      <c r="I57" s="15" t="str">
        <f aca="false">IF(OR(C57&lt;&gt;"Closed",D57="",F57=""),"",IF(I11&gt;D57,"",F57*Loans!C7/12))</f>
        <v/>
      </c>
      <c r="J57" s="15" t="str">
        <f aca="false">IF(OR(C57&lt;&gt;"Closed",D57="",F57=""),"",IF(J11&gt;D57,"",I117*Loans!C7/12))</f>
        <v/>
      </c>
      <c r="K57" s="15" t="str">
        <f aca="false">IF(OR(C57&lt;&gt;"Closed",D57="",F57=""),"",IF(K11&gt;D57,"",J117*Loans!C7/12))</f>
        <v/>
      </c>
      <c r="L57" s="15" t="str">
        <f aca="false">IF(OR(C57&lt;&gt;"Closed",D57="",F57=""),"",IF(L11&gt;D57,"",K117*Loans!C7/12))</f>
        <v/>
      </c>
      <c r="M57" s="15" t="str">
        <f aca="false">IF(OR(C57&lt;&gt;"Closed",D57="",F57=""),"",IF(M11&gt;D57,"",L117*Loans!C7/12))</f>
        <v/>
      </c>
      <c r="N57" s="15" t="str">
        <f aca="false">IF(OR(C57&lt;&gt;"Closed",D57="",F57=""),"",IF(N11&gt;D57,"",M117*Loans!C7/12))</f>
        <v/>
      </c>
      <c r="O57" s="15" t="str">
        <f aca="false">IF(OR(C57&lt;&gt;"Closed",D57="",F57=""),"",IF(O11&gt;D57,"",N117*Loans!C7/12))</f>
        <v/>
      </c>
      <c r="P57" s="15" t="str">
        <f aca="false">IF(OR(C57&lt;&gt;"Closed",D57="",F57=""),"",IF(P11&gt;D57,"",O117*Loans!C7/12))</f>
        <v/>
      </c>
      <c r="Q57" s="15" t="str">
        <f aca="false">IF(OR(C57&lt;&gt;"Closed",D57="",F57=""),"",IF(Q11&gt;D57,"",P117*Loans!C7/12))</f>
        <v/>
      </c>
      <c r="R57" s="15" t="str">
        <f aca="false">IF(OR(C57&lt;&gt;"Closed",D57="",F57=""),"",IF(R11&gt;D57,"",Q117*Loans!C7/12))</f>
        <v/>
      </c>
      <c r="S57" s="15" t="str">
        <f aca="false">IF(OR(C57&lt;&gt;"Closed",D57="",F57=""),"",IF(S11&gt;D57,"",R117*Loans!C7/12))</f>
        <v/>
      </c>
      <c r="T57" s="15" t="str">
        <f aca="false">IF(OR(C57&lt;&gt;"Closed",D57="",F57=""),"",IF(T11&gt;D57,"",S117*Loans!C7/12))</f>
        <v/>
      </c>
      <c r="U57" s="15" t="str">
        <f aca="false">IF(OR(C57&lt;&gt;"Closed",D57="",F57=""),"",IF(U11&gt;D57,"",T117*Loans!C7/12))</f>
        <v/>
      </c>
      <c r="V57" s="15" t="str">
        <f aca="false">IF(OR(C57&lt;&gt;"Closed",D57="",F57=""),"",IF(V11&gt;D57,"",U117*Loans!C7/12))</f>
        <v/>
      </c>
      <c r="W57" s="15" t="str">
        <f aca="false">IF(OR(C57&lt;&gt;"Closed",D57="",F57=""),"",IF(W11&gt;D57,"",V117*Loans!C7/12))</f>
        <v/>
      </c>
      <c r="X57" s="15" t="str">
        <f aca="false">IF(OR(C57&lt;&gt;"Closed",D57="",F57=""),"",IF(X11&gt;D57,"",W117*Loans!C7/12))</f>
        <v/>
      </c>
      <c r="Y57" s="15" t="str">
        <f aca="false">IF(OR(C57&lt;&gt;"Closed",D57="",F57=""),"",IF(Y11&gt;D57,"",X117*Loans!C7/12))</f>
        <v/>
      </c>
      <c r="Z57" s="15" t="str">
        <f aca="false">IF(OR(C57&lt;&gt;"Closed",D57="",F57=""),"",IF(Z11&gt;D57,"",Y117*Loans!C7/12))</f>
        <v/>
      </c>
      <c r="AA57" s="15" t="str">
        <f aca="false">IF(OR(C57&lt;&gt;"Closed",D57="",F57=""),"",IF(AA11&gt;D57,"",Z117*Loans!C7/12))</f>
        <v/>
      </c>
      <c r="AB57" s="15" t="str">
        <f aca="false">IF(OR(C57&lt;&gt;"Closed",D57="",F57=""),"",IF(AB11&gt;D57,"",AA117*Loans!C7/12))</f>
        <v/>
      </c>
      <c r="AC57" s="15" t="str">
        <f aca="false">IF(OR(C57&lt;&gt;"Closed",D57="",F57=""),"",IF(AC11&gt;D57,"",AB117*Loans!C7/12))</f>
        <v/>
      </c>
      <c r="AD57" s="15" t="str">
        <f aca="false">IF(OR(C57&lt;&gt;"Closed",D57="",F57=""),"",IF(AD11&gt;D57,"",AC117*Loans!C7/12))</f>
        <v/>
      </c>
      <c r="AE57" s="15" t="str">
        <f aca="false">IF(OR(C57&lt;&gt;"Closed",D57="",F57=""),"",IF(AE11&gt;D57,"",AD117*Loans!C7/12))</f>
        <v/>
      </c>
      <c r="AF57" s="15" t="str">
        <f aca="false">IF(OR(C57&lt;&gt;"Closed",D57="",F57=""),"",IF(AF11&gt;D57,"",AE117*Loans!C7/12))</f>
        <v/>
      </c>
      <c r="AG57" s="15" t="str">
        <f aca="false">IF(OR(C57&lt;&gt;"Closed",D57="",F57=""),"",IF(AG11&gt;D57,"",AF117*Loans!C7/12))</f>
        <v/>
      </c>
      <c r="AH57" s="15" t="str">
        <f aca="false">IF(OR(C57&lt;&gt;"Closed",D57="",F57=""),"",IF(AH11&gt;D57,"",AG117*Loans!C7/12))</f>
        <v/>
      </c>
      <c r="AI57" s="15" t="str">
        <f aca="false">IF(OR(C57&lt;&gt;"Closed",D57="",F57=""),"",IF(AI11&gt;D57,"",AH117*Loans!C7/12))</f>
        <v/>
      </c>
      <c r="AJ57" s="15" t="str">
        <f aca="false">IF(OR(C57&lt;&gt;"Closed",D57="",F57=""),"",IF(AJ11&gt;D57,"",AI117*Loans!C7/12))</f>
        <v/>
      </c>
      <c r="AK57" s="15" t="str">
        <f aca="false">IF(OR(C57&lt;&gt;"Closed",D57="",F57=""),"",IF(AK11&gt;D57,"",AJ117*Loans!C7/12))</f>
        <v/>
      </c>
      <c r="AL57" s="15" t="str">
        <f aca="false">IF(OR(C57&lt;&gt;"Closed",D57="",F57=""),"",IF(AL11&gt;D57,"",AK117*Loans!C7/12))</f>
        <v/>
      </c>
      <c r="AM57" s="15" t="str">
        <f aca="false">IF(OR(C57&lt;&gt;"Closed",D57="",F57=""),"",IF(AM11&gt;D57,"",AL117*Loans!C7/12))</f>
        <v/>
      </c>
      <c r="AN57" s="15" t="str">
        <f aca="false">IF(OR(C57&lt;&gt;"Closed",D57="",F57=""),"",IF(AN11&gt;D57,"",AM117*Loans!C7/12))</f>
        <v/>
      </c>
      <c r="AO57" s="15" t="str">
        <f aca="false">IF(OR(C57&lt;&gt;"Closed",D57="",F57=""),"",IF(AO11&gt;D57,"",AN117*Loans!C7/12))</f>
        <v/>
      </c>
      <c r="AP57" s="15" t="str">
        <f aca="false">IF(OR(C57&lt;&gt;"Closed",D57="",F57=""),"",IF(AP11&gt;D57,"",AO117*Loans!C7/12))</f>
        <v/>
      </c>
      <c r="AQ57" s="15" t="str">
        <f aca="false">IF(OR(C57&lt;&gt;"Closed",D57="",F57=""),"",IF(AQ11&gt;D57,"",AP117*Loans!C7/12))</f>
        <v/>
      </c>
      <c r="AR57" s="15" t="str">
        <f aca="false">IF(OR(C57&lt;&gt;"Closed",D57="",F57=""),"",IF(AR11&gt;D57,"",AQ117*Loans!C7/12))</f>
        <v/>
      </c>
      <c r="AS57" s="15" t="str">
        <f aca="false">IF(OR(C57&lt;&gt;"Closed",D57="",F57=""),"",IF(AS11&gt;D57,"",AR117*Loans!C7/12))</f>
        <v/>
      </c>
      <c r="AT57" s="15" t="str">
        <f aca="false">IF(OR(C57&lt;&gt;"Closed",D57="",F57=""),"",IF(AT11&gt;D57,"",AS117*Loans!C7/12))</f>
        <v/>
      </c>
      <c r="AU57" s="15" t="str">
        <f aca="false">IF(OR(C57&lt;&gt;"Closed",D57="",F57=""),"",IF(AU11&gt;D57,"",AT117*Loans!C7/12))</f>
        <v/>
      </c>
      <c r="AV57" s="15" t="str">
        <f aca="false">IF(OR(C57&lt;&gt;"Closed",D57="",F57=""),"",IF(AV11&gt;D57,"",AU117*Loans!C7/12))</f>
        <v/>
      </c>
      <c r="AW57" s="15" t="str">
        <f aca="false">IF(OR(C57&lt;&gt;"Closed",D57="",F57=""),"",IF(AW11&gt;D57,"",AV117*Loans!C7/12))</f>
        <v/>
      </c>
      <c r="AX57" s="15" t="str">
        <f aca="false">IF(OR(C57&lt;&gt;"Closed",D57="",F57=""),"",IF(AX11&gt;D57,"",AW117*Loans!C7/12))</f>
        <v/>
      </c>
      <c r="AY57" s="15" t="str">
        <f aca="false">IF(OR(C57&lt;&gt;"Closed",D57="",F57=""),"",IF(AY11&gt;D57,"",AX117*Loans!C7/12))</f>
        <v/>
      </c>
      <c r="AZ57" s="15" t="str">
        <f aca="false">IF(OR(C57&lt;&gt;"Closed",D57="",F57=""),"",IF(AZ11&gt;D57,"",AY117*Loans!C7/12))</f>
        <v/>
      </c>
      <c r="BA57" s="15" t="str">
        <f aca="false">IF(OR(C57&lt;&gt;"Closed",D57="",F57=""),"",IF(BA11&gt;D57,"",AZ117*Loans!C7/12))</f>
        <v/>
      </c>
      <c r="BB57" s="15" t="str">
        <f aca="false">IF(OR(C57&lt;&gt;"Closed",D57="",F57=""),"",IF(BB11&gt;D57,"",BA117*Loans!C7/12))</f>
        <v/>
      </c>
      <c r="BC57" s="15" t="str">
        <f aca="false">IF(OR(C57&lt;&gt;"Closed",D57="",F57=""),"",IF(BC11&gt;D57,"",BB117*Loans!C7/12))</f>
        <v/>
      </c>
      <c r="BD57" s="15" t="str">
        <f aca="false">IF(OR(C57&lt;&gt;"Closed",D57="",F57=""),"",IF(BD11&gt;D57,"",BC117*Loans!C7/12))</f>
        <v/>
      </c>
      <c r="BE57" s="15" t="str">
        <f aca="false">IF(OR(C57&lt;&gt;"Closed",D57="",F57=""),"",IF(BE11&gt;D57,"",BD117*Loans!C7/12))</f>
        <v/>
      </c>
      <c r="BF57" s="15" t="str">
        <f aca="false">IF(OR(C57&lt;&gt;"Closed",D57="",F57=""),"",IF(BF11&gt;D57,"",BE117*Loans!C7/12))</f>
        <v/>
      </c>
      <c r="BG57" s="15" t="str">
        <f aca="false">IF(OR(C57&lt;&gt;"Closed",D57="",F57=""),"",IF(BG11&gt;D57,"",BF117*Loans!C7/12))</f>
        <v/>
      </c>
      <c r="BH57" s="15" t="str">
        <f aca="false">IF(OR(C57&lt;&gt;"Closed",D57="",F57=""),"",IF(BH11&gt;D57,"",BG117*Loans!C7/12))</f>
        <v/>
      </c>
      <c r="BI57" s="15" t="str">
        <f aca="false">IF(OR(C57&lt;&gt;"Closed",D57="",F57=""),"",IF(BI11&gt;D57,"",BH117*Loans!C7/12))</f>
        <v/>
      </c>
      <c r="BJ57" s="15" t="str">
        <f aca="false">IF(OR(C57&lt;&gt;"Closed",D57="",F57=""),"",IF(BJ11&gt;D57,"",BI117*Loans!C7/12))</f>
        <v/>
      </c>
      <c r="BK57" s="15" t="str">
        <f aca="false">IF(OR(C57&lt;&gt;"Closed",D57="",F57=""),"",IF(BK11&gt;D57,"",BJ117*Loans!C7/12))</f>
        <v/>
      </c>
      <c r="BL57" s="15" t="str">
        <f aca="false">IF(OR(C57&lt;&gt;"Closed",D57="",F57=""),"",IF(BL11&gt;D57,"",BK117*Loans!C7/12))</f>
        <v/>
      </c>
      <c r="BM57" s="15" t="str">
        <f aca="false">IF(OR(C57&lt;&gt;"Closed",D57="",F57=""),"",IF(BM11&gt;D57,"",BL117*Loans!C7/12))</f>
        <v/>
      </c>
      <c r="BN57" s="15" t="str">
        <f aca="false">IF(OR(C57&lt;&gt;"Closed",D57="",F57=""),"",IF(BN11&gt;D57,"",BM117*Loans!C7/12))</f>
        <v/>
      </c>
      <c r="BO57" s="15" t="str">
        <f aca="false">IF(OR(C57&lt;&gt;"Closed",D57="",F57=""),"",IF(BO11&gt;D57,"",BN117*Loans!C7/12))</f>
        <v/>
      </c>
      <c r="BP57" s="15" t="str">
        <f aca="false">IF(OR(C57&lt;&gt;"Closed",D57="",F57=""),"",IF(BP11&gt;D57,"",BO117*Loans!C7/12))</f>
        <v/>
      </c>
    </row>
    <row r="58" customFormat="false" ht="15" hidden="false" customHeight="false" outlineLevel="0" collapsed="false">
      <c r="A58" s="29" t="str">
        <f aca="false">IF(Loans!A58="","",Loans!A58)</f>
        <v/>
      </c>
      <c r="B58" s="29" t="str">
        <f aca="false">IF(Loans!B58="","",Loans!B58)</f>
        <v/>
      </c>
      <c r="C58" s="29" t="str">
        <f aca="false">IF(Loans!C58="","",Loans!C58)</f>
        <v/>
      </c>
      <c r="D58" s="16" t="str">
        <f aca="false">IF(Loans!I58="","",Loans!I58)</f>
        <v/>
      </c>
      <c r="E58" s="17" t="str">
        <f aca="false">IF(Loans!E58="","",Loans!E58)</f>
        <v/>
      </c>
      <c r="F58" s="15" t="str">
        <f aca="false">IF(Loans!F58="","",Loans!F58)</f>
        <v/>
      </c>
      <c r="G58" s="15" t="str">
        <f aca="false">IF(OR(C58&lt;&gt;"Closed",D58="",F58=""),"",PMT(Loans!C7/12,D58,-F58))</f>
        <v/>
      </c>
      <c r="H58" s="15" t="str">
        <f aca="false">IF(C58&lt;&gt;"Closed","",SUM(I58:BP58))</f>
        <v/>
      </c>
      <c r="I58" s="15" t="str">
        <f aca="false">IF(OR(C58&lt;&gt;"Closed",D58="",F58=""),"",IF(I11&gt;D58,"",F58*Loans!C7/12))</f>
        <v/>
      </c>
      <c r="J58" s="15" t="str">
        <f aca="false">IF(OR(C58&lt;&gt;"Closed",D58="",F58=""),"",IF(J11&gt;D58,"",I118*Loans!C7/12))</f>
        <v/>
      </c>
      <c r="K58" s="15" t="str">
        <f aca="false">IF(OR(C58&lt;&gt;"Closed",D58="",F58=""),"",IF(K11&gt;D58,"",J118*Loans!C7/12))</f>
        <v/>
      </c>
      <c r="L58" s="15" t="str">
        <f aca="false">IF(OR(C58&lt;&gt;"Closed",D58="",F58=""),"",IF(L11&gt;D58,"",K118*Loans!C7/12))</f>
        <v/>
      </c>
      <c r="M58" s="15" t="str">
        <f aca="false">IF(OR(C58&lt;&gt;"Closed",D58="",F58=""),"",IF(M11&gt;D58,"",L118*Loans!C7/12))</f>
        <v/>
      </c>
      <c r="N58" s="15" t="str">
        <f aca="false">IF(OR(C58&lt;&gt;"Closed",D58="",F58=""),"",IF(N11&gt;D58,"",M118*Loans!C7/12))</f>
        <v/>
      </c>
      <c r="O58" s="15" t="str">
        <f aca="false">IF(OR(C58&lt;&gt;"Closed",D58="",F58=""),"",IF(O11&gt;D58,"",N118*Loans!C7/12))</f>
        <v/>
      </c>
      <c r="P58" s="15" t="str">
        <f aca="false">IF(OR(C58&lt;&gt;"Closed",D58="",F58=""),"",IF(P11&gt;D58,"",O118*Loans!C7/12))</f>
        <v/>
      </c>
      <c r="Q58" s="15" t="str">
        <f aca="false">IF(OR(C58&lt;&gt;"Closed",D58="",F58=""),"",IF(Q11&gt;D58,"",P118*Loans!C7/12))</f>
        <v/>
      </c>
      <c r="R58" s="15" t="str">
        <f aca="false">IF(OR(C58&lt;&gt;"Closed",D58="",F58=""),"",IF(R11&gt;D58,"",Q118*Loans!C7/12))</f>
        <v/>
      </c>
      <c r="S58" s="15" t="str">
        <f aca="false">IF(OR(C58&lt;&gt;"Closed",D58="",F58=""),"",IF(S11&gt;D58,"",R118*Loans!C7/12))</f>
        <v/>
      </c>
      <c r="T58" s="15" t="str">
        <f aca="false">IF(OR(C58&lt;&gt;"Closed",D58="",F58=""),"",IF(T11&gt;D58,"",S118*Loans!C7/12))</f>
        <v/>
      </c>
      <c r="U58" s="15" t="str">
        <f aca="false">IF(OR(C58&lt;&gt;"Closed",D58="",F58=""),"",IF(U11&gt;D58,"",T118*Loans!C7/12))</f>
        <v/>
      </c>
      <c r="V58" s="15" t="str">
        <f aca="false">IF(OR(C58&lt;&gt;"Closed",D58="",F58=""),"",IF(V11&gt;D58,"",U118*Loans!C7/12))</f>
        <v/>
      </c>
      <c r="W58" s="15" t="str">
        <f aca="false">IF(OR(C58&lt;&gt;"Closed",D58="",F58=""),"",IF(W11&gt;D58,"",V118*Loans!C7/12))</f>
        <v/>
      </c>
      <c r="X58" s="15" t="str">
        <f aca="false">IF(OR(C58&lt;&gt;"Closed",D58="",F58=""),"",IF(X11&gt;D58,"",W118*Loans!C7/12))</f>
        <v/>
      </c>
      <c r="Y58" s="15" t="str">
        <f aca="false">IF(OR(C58&lt;&gt;"Closed",D58="",F58=""),"",IF(Y11&gt;D58,"",X118*Loans!C7/12))</f>
        <v/>
      </c>
      <c r="Z58" s="15" t="str">
        <f aca="false">IF(OR(C58&lt;&gt;"Closed",D58="",F58=""),"",IF(Z11&gt;D58,"",Y118*Loans!C7/12))</f>
        <v/>
      </c>
      <c r="AA58" s="15" t="str">
        <f aca="false">IF(OR(C58&lt;&gt;"Closed",D58="",F58=""),"",IF(AA11&gt;D58,"",Z118*Loans!C7/12))</f>
        <v/>
      </c>
      <c r="AB58" s="15" t="str">
        <f aca="false">IF(OR(C58&lt;&gt;"Closed",D58="",F58=""),"",IF(AB11&gt;D58,"",AA118*Loans!C7/12))</f>
        <v/>
      </c>
      <c r="AC58" s="15" t="str">
        <f aca="false">IF(OR(C58&lt;&gt;"Closed",D58="",F58=""),"",IF(AC11&gt;D58,"",AB118*Loans!C7/12))</f>
        <v/>
      </c>
      <c r="AD58" s="15" t="str">
        <f aca="false">IF(OR(C58&lt;&gt;"Closed",D58="",F58=""),"",IF(AD11&gt;D58,"",AC118*Loans!C7/12))</f>
        <v/>
      </c>
      <c r="AE58" s="15" t="str">
        <f aca="false">IF(OR(C58&lt;&gt;"Closed",D58="",F58=""),"",IF(AE11&gt;D58,"",AD118*Loans!C7/12))</f>
        <v/>
      </c>
      <c r="AF58" s="15" t="str">
        <f aca="false">IF(OR(C58&lt;&gt;"Closed",D58="",F58=""),"",IF(AF11&gt;D58,"",AE118*Loans!C7/12))</f>
        <v/>
      </c>
      <c r="AG58" s="15" t="str">
        <f aca="false">IF(OR(C58&lt;&gt;"Closed",D58="",F58=""),"",IF(AG11&gt;D58,"",AF118*Loans!C7/12))</f>
        <v/>
      </c>
      <c r="AH58" s="15" t="str">
        <f aca="false">IF(OR(C58&lt;&gt;"Closed",D58="",F58=""),"",IF(AH11&gt;D58,"",AG118*Loans!C7/12))</f>
        <v/>
      </c>
      <c r="AI58" s="15" t="str">
        <f aca="false">IF(OR(C58&lt;&gt;"Closed",D58="",F58=""),"",IF(AI11&gt;D58,"",AH118*Loans!C7/12))</f>
        <v/>
      </c>
      <c r="AJ58" s="15" t="str">
        <f aca="false">IF(OR(C58&lt;&gt;"Closed",D58="",F58=""),"",IF(AJ11&gt;D58,"",AI118*Loans!C7/12))</f>
        <v/>
      </c>
      <c r="AK58" s="15" t="str">
        <f aca="false">IF(OR(C58&lt;&gt;"Closed",D58="",F58=""),"",IF(AK11&gt;D58,"",AJ118*Loans!C7/12))</f>
        <v/>
      </c>
      <c r="AL58" s="15" t="str">
        <f aca="false">IF(OR(C58&lt;&gt;"Closed",D58="",F58=""),"",IF(AL11&gt;D58,"",AK118*Loans!C7/12))</f>
        <v/>
      </c>
      <c r="AM58" s="15" t="str">
        <f aca="false">IF(OR(C58&lt;&gt;"Closed",D58="",F58=""),"",IF(AM11&gt;D58,"",AL118*Loans!C7/12))</f>
        <v/>
      </c>
      <c r="AN58" s="15" t="str">
        <f aca="false">IF(OR(C58&lt;&gt;"Closed",D58="",F58=""),"",IF(AN11&gt;D58,"",AM118*Loans!C7/12))</f>
        <v/>
      </c>
      <c r="AO58" s="15" t="str">
        <f aca="false">IF(OR(C58&lt;&gt;"Closed",D58="",F58=""),"",IF(AO11&gt;D58,"",AN118*Loans!C7/12))</f>
        <v/>
      </c>
      <c r="AP58" s="15" t="str">
        <f aca="false">IF(OR(C58&lt;&gt;"Closed",D58="",F58=""),"",IF(AP11&gt;D58,"",AO118*Loans!C7/12))</f>
        <v/>
      </c>
      <c r="AQ58" s="15" t="str">
        <f aca="false">IF(OR(C58&lt;&gt;"Closed",D58="",F58=""),"",IF(AQ11&gt;D58,"",AP118*Loans!C7/12))</f>
        <v/>
      </c>
      <c r="AR58" s="15" t="str">
        <f aca="false">IF(OR(C58&lt;&gt;"Closed",D58="",F58=""),"",IF(AR11&gt;D58,"",AQ118*Loans!C7/12))</f>
        <v/>
      </c>
      <c r="AS58" s="15" t="str">
        <f aca="false">IF(OR(C58&lt;&gt;"Closed",D58="",F58=""),"",IF(AS11&gt;D58,"",AR118*Loans!C7/12))</f>
        <v/>
      </c>
      <c r="AT58" s="15" t="str">
        <f aca="false">IF(OR(C58&lt;&gt;"Closed",D58="",F58=""),"",IF(AT11&gt;D58,"",AS118*Loans!C7/12))</f>
        <v/>
      </c>
      <c r="AU58" s="15" t="str">
        <f aca="false">IF(OR(C58&lt;&gt;"Closed",D58="",F58=""),"",IF(AU11&gt;D58,"",AT118*Loans!C7/12))</f>
        <v/>
      </c>
      <c r="AV58" s="15" t="str">
        <f aca="false">IF(OR(C58&lt;&gt;"Closed",D58="",F58=""),"",IF(AV11&gt;D58,"",AU118*Loans!C7/12))</f>
        <v/>
      </c>
      <c r="AW58" s="15" t="str">
        <f aca="false">IF(OR(C58&lt;&gt;"Closed",D58="",F58=""),"",IF(AW11&gt;D58,"",AV118*Loans!C7/12))</f>
        <v/>
      </c>
      <c r="AX58" s="15" t="str">
        <f aca="false">IF(OR(C58&lt;&gt;"Closed",D58="",F58=""),"",IF(AX11&gt;D58,"",AW118*Loans!C7/12))</f>
        <v/>
      </c>
      <c r="AY58" s="15" t="str">
        <f aca="false">IF(OR(C58&lt;&gt;"Closed",D58="",F58=""),"",IF(AY11&gt;D58,"",AX118*Loans!C7/12))</f>
        <v/>
      </c>
      <c r="AZ58" s="15" t="str">
        <f aca="false">IF(OR(C58&lt;&gt;"Closed",D58="",F58=""),"",IF(AZ11&gt;D58,"",AY118*Loans!C7/12))</f>
        <v/>
      </c>
      <c r="BA58" s="15" t="str">
        <f aca="false">IF(OR(C58&lt;&gt;"Closed",D58="",F58=""),"",IF(BA11&gt;D58,"",AZ118*Loans!C7/12))</f>
        <v/>
      </c>
      <c r="BB58" s="15" t="str">
        <f aca="false">IF(OR(C58&lt;&gt;"Closed",D58="",F58=""),"",IF(BB11&gt;D58,"",BA118*Loans!C7/12))</f>
        <v/>
      </c>
      <c r="BC58" s="15" t="str">
        <f aca="false">IF(OR(C58&lt;&gt;"Closed",D58="",F58=""),"",IF(BC11&gt;D58,"",BB118*Loans!C7/12))</f>
        <v/>
      </c>
      <c r="BD58" s="15" t="str">
        <f aca="false">IF(OR(C58&lt;&gt;"Closed",D58="",F58=""),"",IF(BD11&gt;D58,"",BC118*Loans!C7/12))</f>
        <v/>
      </c>
      <c r="BE58" s="15" t="str">
        <f aca="false">IF(OR(C58&lt;&gt;"Closed",D58="",F58=""),"",IF(BE11&gt;D58,"",BD118*Loans!C7/12))</f>
        <v/>
      </c>
      <c r="BF58" s="15" t="str">
        <f aca="false">IF(OR(C58&lt;&gt;"Closed",D58="",F58=""),"",IF(BF11&gt;D58,"",BE118*Loans!C7/12))</f>
        <v/>
      </c>
      <c r="BG58" s="15" t="str">
        <f aca="false">IF(OR(C58&lt;&gt;"Closed",D58="",F58=""),"",IF(BG11&gt;D58,"",BF118*Loans!C7/12))</f>
        <v/>
      </c>
      <c r="BH58" s="15" t="str">
        <f aca="false">IF(OR(C58&lt;&gt;"Closed",D58="",F58=""),"",IF(BH11&gt;D58,"",BG118*Loans!C7/12))</f>
        <v/>
      </c>
      <c r="BI58" s="15" t="str">
        <f aca="false">IF(OR(C58&lt;&gt;"Closed",D58="",F58=""),"",IF(BI11&gt;D58,"",BH118*Loans!C7/12))</f>
        <v/>
      </c>
      <c r="BJ58" s="15" t="str">
        <f aca="false">IF(OR(C58&lt;&gt;"Closed",D58="",F58=""),"",IF(BJ11&gt;D58,"",BI118*Loans!C7/12))</f>
        <v/>
      </c>
      <c r="BK58" s="15" t="str">
        <f aca="false">IF(OR(C58&lt;&gt;"Closed",D58="",F58=""),"",IF(BK11&gt;D58,"",BJ118*Loans!C7/12))</f>
        <v/>
      </c>
      <c r="BL58" s="15" t="str">
        <f aca="false">IF(OR(C58&lt;&gt;"Closed",D58="",F58=""),"",IF(BL11&gt;D58,"",BK118*Loans!C7/12))</f>
        <v/>
      </c>
      <c r="BM58" s="15" t="str">
        <f aca="false">IF(OR(C58&lt;&gt;"Closed",D58="",F58=""),"",IF(BM11&gt;D58,"",BL118*Loans!C7/12))</f>
        <v/>
      </c>
      <c r="BN58" s="15" t="str">
        <f aca="false">IF(OR(C58&lt;&gt;"Closed",D58="",F58=""),"",IF(BN11&gt;D58,"",BM118*Loans!C7/12))</f>
        <v/>
      </c>
      <c r="BO58" s="15" t="str">
        <f aca="false">IF(OR(C58&lt;&gt;"Closed",D58="",F58=""),"",IF(BO11&gt;D58,"",BN118*Loans!C7/12))</f>
        <v/>
      </c>
      <c r="BP58" s="15" t="str">
        <f aca="false">IF(OR(C58&lt;&gt;"Closed",D58="",F58=""),"",IF(BP11&gt;D58,"",BO118*Loans!C7/12))</f>
        <v/>
      </c>
    </row>
    <row r="59" customFormat="false" ht="15" hidden="false" customHeight="false" outlineLevel="0" collapsed="false">
      <c r="A59" s="29" t="str">
        <f aca="false">IF(Loans!A59="","",Loans!A59)</f>
        <v/>
      </c>
      <c r="B59" s="29" t="str">
        <f aca="false">IF(Loans!B59="","",Loans!B59)</f>
        <v/>
      </c>
      <c r="C59" s="29" t="str">
        <f aca="false">IF(Loans!C59="","",Loans!C59)</f>
        <v/>
      </c>
      <c r="D59" s="16" t="str">
        <f aca="false">IF(Loans!I59="","",Loans!I59)</f>
        <v/>
      </c>
      <c r="E59" s="17" t="str">
        <f aca="false">IF(Loans!E59="","",Loans!E59)</f>
        <v/>
      </c>
      <c r="F59" s="15" t="str">
        <f aca="false">IF(Loans!F59="","",Loans!F59)</f>
        <v/>
      </c>
      <c r="G59" s="15" t="str">
        <f aca="false">IF(OR(C59&lt;&gt;"Closed",D59="",F59=""),"",PMT(Loans!C7/12,D59,-F59))</f>
        <v/>
      </c>
      <c r="H59" s="15" t="str">
        <f aca="false">IF(C59&lt;&gt;"Closed","",SUM(I59:BP59))</f>
        <v/>
      </c>
      <c r="I59" s="15" t="str">
        <f aca="false">IF(OR(C59&lt;&gt;"Closed",D59="",F59=""),"",IF(I11&gt;D59,"",F59*Loans!C7/12))</f>
        <v/>
      </c>
      <c r="J59" s="15" t="str">
        <f aca="false">IF(OR(C59&lt;&gt;"Closed",D59="",F59=""),"",IF(J11&gt;D59,"",I119*Loans!C7/12))</f>
        <v/>
      </c>
      <c r="K59" s="15" t="str">
        <f aca="false">IF(OR(C59&lt;&gt;"Closed",D59="",F59=""),"",IF(K11&gt;D59,"",J119*Loans!C7/12))</f>
        <v/>
      </c>
      <c r="L59" s="15" t="str">
        <f aca="false">IF(OR(C59&lt;&gt;"Closed",D59="",F59=""),"",IF(L11&gt;D59,"",K119*Loans!C7/12))</f>
        <v/>
      </c>
      <c r="M59" s="15" t="str">
        <f aca="false">IF(OR(C59&lt;&gt;"Closed",D59="",F59=""),"",IF(M11&gt;D59,"",L119*Loans!C7/12))</f>
        <v/>
      </c>
      <c r="N59" s="15" t="str">
        <f aca="false">IF(OR(C59&lt;&gt;"Closed",D59="",F59=""),"",IF(N11&gt;D59,"",M119*Loans!C7/12))</f>
        <v/>
      </c>
      <c r="O59" s="15" t="str">
        <f aca="false">IF(OR(C59&lt;&gt;"Closed",D59="",F59=""),"",IF(O11&gt;D59,"",N119*Loans!C7/12))</f>
        <v/>
      </c>
      <c r="P59" s="15" t="str">
        <f aca="false">IF(OR(C59&lt;&gt;"Closed",D59="",F59=""),"",IF(P11&gt;D59,"",O119*Loans!C7/12))</f>
        <v/>
      </c>
      <c r="Q59" s="15" t="str">
        <f aca="false">IF(OR(C59&lt;&gt;"Closed",D59="",F59=""),"",IF(Q11&gt;D59,"",P119*Loans!C7/12))</f>
        <v/>
      </c>
      <c r="R59" s="15" t="str">
        <f aca="false">IF(OR(C59&lt;&gt;"Closed",D59="",F59=""),"",IF(R11&gt;D59,"",Q119*Loans!C7/12))</f>
        <v/>
      </c>
      <c r="S59" s="15" t="str">
        <f aca="false">IF(OR(C59&lt;&gt;"Closed",D59="",F59=""),"",IF(S11&gt;D59,"",R119*Loans!C7/12))</f>
        <v/>
      </c>
      <c r="T59" s="15" t="str">
        <f aca="false">IF(OR(C59&lt;&gt;"Closed",D59="",F59=""),"",IF(T11&gt;D59,"",S119*Loans!C7/12))</f>
        <v/>
      </c>
      <c r="U59" s="15" t="str">
        <f aca="false">IF(OR(C59&lt;&gt;"Closed",D59="",F59=""),"",IF(U11&gt;D59,"",T119*Loans!C7/12))</f>
        <v/>
      </c>
      <c r="V59" s="15" t="str">
        <f aca="false">IF(OR(C59&lt;&gt;"Closed",D59="",F59=""),"",IF(V11&gt;D59,"",U119*Loans!C7/12))</f>
        <v/>
      </c>
      <c r="W59" s="15" t="str">
        <f aca="false">IF(OR(C59&lt;&gt;"Closed",D59="",F59=""),"",IF(W11&gt;D59,"",V119*Loans!C7/12))</f>
        <v/>
      </c>
      <c r="X59" s="15" t="str">
        <f aca="false">IF(OR(C59&lt;&gt;"Closed",D59="",F59=""),"",IF(X11&gt;D59,"",W119*Loans!C7/12))</f>
        <v/>
      </c>
      <c r="Y59" s="15" t="str">
        <f aca="false">IF(OR(C59&lt;&gt;"Closed",D59="",F59=""),"",IF(Y11&gt;D59,"",X119*Loans!C7/12))</f>
        <v/>
      </c>
      <c r="Z59" s="15" t="str">
        <f aca="false">IF(OR(C59&lt;&gt;"Closed",D59="",F59=""),"",IF(Z11&gt;D59,"",Y119*Loans!C7/12))</f>
        <v/>
      </c>
      <c r="AA59" s="15" t="str">
        <f aca="false">IF(OR(C59&lt;&gt;"Closed",D59="",F59=""),"",IF(AA11&gt;D59,"",Z119*Loans!C7/12))</f>
        <v/>
      </c>
      <c r="AB59" s="15" t="str">
        <f aca="false">IF(OR(C59&lt;&gt;"Closed",D59="",F59=""),"",IF(AB11&gt;D59,"",AA119*Loans!C7/12))</f>
        <v/>
      </c>
      <c r="AC59" s="15" t="str">
        <f aca="false">IF(OR(C59&lt;&gt;"Closed",D59="",F59=""),"",IF(AC11&gt;D59,"",AB119*Loans!C7/12))</f>
        <v/>
      </c>
      <c r="AD59" s="15" t="str">
        <f aca="false">IF(OR(C59&lt;&gt;"Closed",D59="",F59=""),"",IF(AD11&gt;D59,"",AC119*Loans!C7/12))</f>
        <v/>
      </c>
      <c r="AE59" s="15" t="str">
        <f aca="false">IF(OR(C59&lt;&gt;"Closed",D59="",F59=""),"",IF(AE11&gt;D59,"",AD119*Loans!C7/12))</f>
        <v/>
      </c>
      <c r="AF59" s="15" t="str">
        <f aca="false">IF(OR(C59&lt;&gt;"Closed",D59="",F59=""),"",IF(AF11&gt;D59,"",AE119*Loans!C7/12))</f>
        <v/>
      </c>
      <c r="AG59" s="15" t="str">
        <f aca="false">IF(OR(C59&lt;&gt;"Closed",D59="",F59=""),"",IF(AG11&gt;D59,"",AF119*Loans!C7/12))</f>
        <v/>
      </c>
      <c r="AH59" s="15" t="str">
        <f aca="false">IF(OR(C59&lt;&gt;"Closed",D59="",F59=""),"",IF(AH11&gt;D59,"",AG119*Loans!C7/12))</f>
        <v/>
      </c>
      <c r="AI59" s="15" t="str">
        <f aca="false">IF(OR(C59&lt;&gt;"Closed",D59="",F59=""),"",IF(AI11&gt;D59,"",AH119*Loans!C7/12))</f>
        <v/>
      </c>
      <c r="AJ59" s="15" t="str">
        <f aca="false">IF(OR(C59&lt;&gt;"Closed",D59="",F59=""),"",IF(AJ11&gt;D59,"",AI119*Loans!C7/12))</f>
        <v/>
      </c>
      <c r="AK59" s="15" t="str">
        <f aca="false">IF(OR(C59&lt;&gt;"Closed",D59="",F59=""),"",IF(AK11&gt;D59,"",AJ119*Loans!C7/12))</f>
        <v/>
      </c>
      <c r="AL59" s="15" t="str">
        <f aca="false">IF(OR(C59&lt;&gt;"Closed",D59="",F59=""),"",IF(AL11&gt;D59,"",AK119*Loans!C7/12))</f>
        <v/>
      </c>
      <c r="AM59" s="15" t="str">
        <f aca="false">IF(OR(C59&lt;&gt;"Closed",D59="",F59=""),"",IF(AM11&gt;D59,"",AL119*Loans!C7/12))</f>
        <v/>
      </c>
      <c r="AN59" s="15" t="str">
        <f aca="false">IF(OR(C59&lt;&gt;"Closed",D59="",F59=""),"",IF(AN11&gt;D59,"",AM119*Loans!C7/12))</f>
        <v/>
      </c>
      <c r="AO59" s="15" t="str">
        <f aca="false">IF(OR(C59&lt;&gt;"Closed",D59="",F59=""),"",IF(AO11&gt;D59,"",AN119*Loans!C7/12))</f>
        <v/>
      </c>
      <c r="AP59" s="15" t="str">
        <f aca="false">IF(OR(C59&lt;&gt;"Closed",D59="",F59=""),"",IF(AP11&gt;D59,"",AO119*Loans!C7/12))</f>
        <v/>
      </c>
      <c r="AQ59" s="15" t="str">
        <f aca="false">IF(OR(C59&lt;&gt;"Closed",D59="",F59=""),"",IF(AQ11&gt;D59,"",AP119*Loans!C7/12))</f>
        <v/>
      </c>
      <c r="AR59" s="15" t="str">
        <f aca="false">IF(OR(C59&lt;&gt;"Closed",D59="",F59=""),"",IF(AR11&gt;D59,"",AQ119*Loans!C7/12))</f>
        <v/>
      </c>
      <c r="AS59" s="15" t="str">
        <f aca="false">IF(OR(C59&lt;&gt;"Closed",D59="",F59=""),"",IF(AS11&gt;D59,"",AR119*Loans!C7/12))</f>
        <v/>
      </c>
      <c r="AT59" s="15" t="str">
        <f aca="false">IF(OR(C59&lt;&gt;"Closed",D59="",F59=""),"",IF(AT11&gt;D59,"",AS119*Loans!C7/12))</f>
        <v/>
      </c>
      <c r="AU59" s="15" t="str">
        <f aca="false">IF(OR(C59&lt;&gt;"Closed",D59="",F59=""),"",IF(AU11&gt;D59,"",AT119*Loans!C7/12))</f>
        <v/>
      </c>
      <c r="AV59" s="15" t="str">
        <f aca="false">IF(OR(C59&lt;&gt;"Closed",D59="",F59=""),"",IF(AV11&gt;D59,"",AU119*Loans!C7/12))</f>
        <v/>
      </c>
      <c r="AW59" s="15" t="str">
        <f aca="false">IF(OR(C59&lt;&gt;"Closed",D59="",F59=""),"",IF(AW11&gt;D59,"",AV119*Loans!C7/12))</f>
        <v/>
      </c>
      <c r="AX59" s="15" t="str">
        <f aca="false">IF(OR(C59&lt;&gt;"Closed",D59="",F59=""),"",IF(AX11&gt;D59,"",AW119*Loans!C7/12))</f>
        <v/>
      </c>
      <c r="AY59" s="15" t="str">
        <f aca="false">IF(OR(C59&lt;&gt;"Closed",D59="",F59=""),"",IF(AY11&gt;D59,"",AX119*Loans!C7/12))</f>
        <v/>
      </c>
      <c r="AZ59" s="15" t="str">
        <f aca="false">IF(OR(C59&lt;&gt;"Closed",D59="",F59=""),"",IF(AZ11&gt;D59,"",AY119*Loans!C7/12))</f>
        <v/>
      </c>
      <c r="BA59" s="15" t="str">
        <f aca="false">IF(OR(C59&lt;&gt;"Closed",D59="",F59=""),"",IF(BA11&gt;D59,"",AZ119*Loans!C7/12))</f>
        <v/>
      </c>
      <c r="BB59" s="15" t="str">
        <f aca="false">IF(OR(C59&lt;&gt;"Closed",D59="",F59=""),"",IF(BB11&gt;D59,"",BA119*Loans!C7/12))</f>
        <v/>
      </c>
      <c r="BC59" s="15" t="str">
        <f aca="false">IF(OR(C59&lt;&gt;"Closed",D59="",F59=""),"",IF(BC11&gt;D59,"",BB119*Loans!C7/12))</f>
        <v/>
      </c>
      <c r="BD59" s="15" t="str">
        <f aca="false">IF(OR(C59&lt;&gt;"Closed",D59="",F59=""),"",IF(BD11&gt;D59,"",BC119*Loans!C7/12))</f>
        <v/>
      </c>
      <c r="BE59" s="15" t="str">
        <f aca="false">IF(OR(C59&lt;&gt;"Closed",D59="",F59=""),"",IF(BE11&gt;D59,"",BD119*Loans!C7/12))</f>
        <v/>
      </c>
      <c r="BF59" s="15" t="str">
        <f aca="false">IF(OR(C59&lt;&gt;"Closed",D59="",F59=""),"",IF(BF11&gt;D59,"",BE119*Loans!C7/12))</f>
        <v/>
      </c>
      <c r="BG59" s="15" t="str">
        <f aca="false">IF(OR(C59&lt;&gt;"Closed",D59="",F59=""),"",IF(BG11&gt;D59,"",BF119*Loans!C7/12))</f>
        <v/>
      </c>
      <c r="BH59" s="15" t="str">
        <f aca="false">IF(OR(C59&lt;&gt;"Closed",D59="",F59=""),"",IF(BH11&gt;D59,"",BG119*Loans!C7/12))</f>
        <v/>
      </c>
      <c r="BI59" s="15" t="str">
        <f aca="false">IF(OR(C59&lt;&gt;"Closed",D59="",F59=""),"",IF(BI11&gt;D59,"",BH119*Loans!C7/12))</f>
        <v/>
      </c>
      <c r="BJ59" s="15" t="str">
        <f aca="false">IF(OR(C59&lt;&gt;"Closed",D59="",F59=""),"",IF(BJ11&gt;D59,"",BI119*Loans!C7/12))</f>
        <v/>
      </c>
      <c r="BK59" s="15" t="str">
        <f aca="false">IF(OR(C59&lt;&gt;"Closed",D59="",F59=""),"",IF(BK11&gt;D59,"",BJ119*Loans!C7/12))</f>
        <v/>
      </c>
      <c r="BL59" s="15" t="str">
        <f aca="false">IF(OR(C59&lt;&gt;"Closed",D59="",F59=""),"",IF(BL11&gt;D59,"",BK119*Loans!C7/12))</f>
        <v/>
      </c>
      <c r="BM59" s="15" t="str">
        <f aca="false">IF(OR(C59&lt;&gt;"Closed",D59="",F59=""),"",IF(BM11&gt;D59,"",BL119*Loans!C7/12))</f>
        <v/>
      </c>
      <c r="BN59" s="15" t="str">
        <f aca="false">IF(OR(C59&lt;&gt;"Closed",D59="",F59=""),"",IF(BN11&gt;D59,"",BM119*Loans!C7/12))</f>
        <v/>
      </c>
      <c r="BO59" s="15" t="str">
        <f aca="false">IF(OR(C59&lt;&gt;"Closed",D59="",F59=""),"",IF(BO11&gt;D59,"",BN119*Loans!C7/12))</f>
        <v/>
      </c>
      <c r="BP59" s="15" t="str">
        <f aca="false">IF(OR(C59&lt;&gt;"Closed",D59="",F59=""),"",IF(BP11&gt;D59,"",BO119*Loans!C7/12))</f>
        <v/>
      </c>
    </row>
    <row r="60" customFormat="false" ht="15" hidden="false" customHeight="false" outlineLevel="0" collapsed="false">
      <c r="A60" s="29" t="str">
        <f aca="false">IF(Loans!A60="","",Loans!A60)</f>
        <v/>
      </c>
      <c r="B60" s="29" t="str">
        <f aca="false">IF(Loans!B60="","",Loans!B60)</f>
        <v/>
      </c>
      <c r="C60" s="29" t="str">
        <f aca="false">IF(Loans!C60="","",Loans!C60)</f>
        <v/>
      </c>
      <c r="D60" s="16" t="str">
        <f aca="false">IF(Loans!I60="","",Loans!I60)</f>
        <v/>
      </c>
      <c r="E60" s="17" t="str">
        <f aca="false">IF(Loans!E60="","",Loans!E60)</f>
        <v/>
      </c>
      <c r="F60" s="15" t="str">
        <f aca="false">IF(Loans!F60="","",Loans!F60)</f>
        <v/>
      </c>
      <c r="G60" s="15" t="str">
        <f aca="false">IF(OR(C60&lt;&gt;"Closed",D60="",F60=""),"",PMT(Loans!C7/12,D60,-F60))</f>
        <v/>
      </c>
      <c r="H60" s="15" t="str">
        <f aca="false">IF(C60&lt;&gt;"Closed","",SUM(I60:BP60))</f>
        <v/>
      </c>
      <c r="I60" s="15" t="str">
        <f aca="false">IF(OR(C60&lt;&gt;"Closed",D60="",F60=""),"",IF(I11&gt;D60,"",F60*Loans!C7/12))</f>
        <v/>
      </c>
      <c r="J60" s="15" t="str">
        <f aca="false">IF(OR(C60&lt;&gt;"Closed",D60="",F60=""),"",IF(J11&gt;D60,"",I120*Loans!C7/12))</f>
        <v/>
      </c>
      <c r="K60" s="15" t="str">
        <f aca="false">IF(OR(C60&lt;&gt;"Closed",D60="",F60=""),"",IF(K11&gt;D60,"",J120*Loans!C7/12))</f>
        <v/>
      </c>
      <c r="L60" s="15" t="str">
        <f aca="false">IF(OR(C60&lt;&gt;"Closed",D60="",F60=""),"",IF(L11&gt;D60,"",K120*Loans!C7/12))</f>
        <v/>
      </c>
      <c r="M60" s="15" t="str">
        <f aca="false">IF(OR(C60&lt;&gt;"Closed",D60="",F60=""),"",IF(M11&gt;D60,"",L120*Loans!C7/12))</f>
        <v/>
      </c>
      <c r="N60" s="15" t="str">
        <f aca="false">IF(OR(C60&lt;&gt;"Closed",D60="",F60=""),"",IF(N11&gt;D60,"",M120*Loans!C7/12))</f>
        <v/>
      </c>
      <c r="O60" s="15" t="str">
        <f aca="false">IF(OR(C60&lt;&gt;"Closed",D60="",F60=""),"",IF(O11&gt;D60,"",N120*Loans!C7/12))</f>
        <v/>
      </c>
      <c r="P60" s="15" t="str">
        <f aca="false">IF(OR(C60&lt;&gt;"Closed",D60="",F60=""),"",IF(P11&gt;D60,"",O120*Loans!C7/12))</f>
        <v/>
      </c>
      <c r="Q60" s="15" t="str">
        <f aca="false">IF(OR(C60&lt;&gt;"Closed",D60="",F60=""),"",IF(Q11&gt;D60,"",P120*Loans!C7/12))</f>
        <v/>
      </c>
      <c r="R60" s="15" t="str">
        <f aca="false">IF(OR(C60&lt;&gt;"Closed",D60="",F60=""),"",IF(R11&gt;D60,"",Q120*Loans!C7/12))</f>
        <v/>
      </c>
      <c r="S60" s="15" t="str">
        <f aca="false">IF(OR(C60&lt;&gt;"Closed",D60="",F60=""),"",IF(S11&gt;D60,"",R120*Loans!C7/12))</f>
        <v/>
      </c>
      <c r="T60" s="15" t="str">
        <f aca="false">IF(OR(C60&lt;&gt;"Closed",D60="",F60=""),"",IF(T11&gt;D60,"",S120*Loans!C7/12))</f>
        <v/>
      </c>
      <c r="U60" s="15" t="str">
        <f aca="false">IF(OR(C60&lt;&gt;"Closed",D60="",F60=""),"",IF(U11&gt;D60,"",T120*Loans!C7/12))</f>
        <v/>
      </c>
      <c r="V60" s="15" t="str">
        <f aca="false">IF(OR(C60&lt;&gt;"Closed",D60="",F60=""),"",IF(V11&gt;D60,"",U120*Loans!C7/12))</f>
        <v/>
      </c>
      <c r="W60" s="15" t="str">
        <f aca="false">IF(OR(C60&lt;&gt;"Closed",D60="",F60=""),"",IF(W11&gt;D60,"",V120*Loans!C7/12))</f>
        <v/>
      </c>
      <c r="X60" s="15" t="str">
        <f aca="false">IF(OR(C60&lt;&gt;"Closed",D60="",F60=""),"",IF(X11&gt;D60,"",W120*Loans!C7/12))</f>
        <v/>
      </c>
      <c r="Y60" s="15" t="str">
        <f aca="false">IF(OR(C60&lt;&gt;"Closed",D60="",F60=""),"",IF(Y11&gt;D60,"",X120*Loans!C7/12))</f>
        <v/>
      </c>
      <c r="Z60" s="15" t="str">
        <f aca="false">IF(OR(C60&lt;&gt;"Closed",D60="",F60=""),"",IF(Z11&gt;D60,"",Y120*Loans!C7/12))</f>
        <v/>
      </c>
      <c r="AA60" s="15" t="str">
        <f aca="false">IF(OR(C60&lt;&gt;"Closed",D60="",F60=""),"",IF(AA11&gt;D60,"",Z120*Loans!C7/12))</f>
        <v/>
      </c>
      <c r="AB60" s="15" t="str">
        <f aca="false">IF(OR(C60&lt;&gt;"Closed",D60="",F60=""),"",IF(AB11&gt;D60,"",AA120*Loans!C7/12))</f>
        <v/>
      </c>
      <c r="AC60" s="15" t="str">
        <f aca="false">IF(OR(C60&lt;&gt;"Closed",D60="",F60=""),"",IF(AC11&gt;D60,"",AB120*Loans!C7/12))</f>
        <v/>
      </c>
      <c r="AD60" s="15" t="str">
        <f aca="false">IF(OR(C60&lt;&gt;"Closed",D60="",F60=""),"",IF(AD11&gt;D60,"",AC120*Loans!C7/12))</f>
        <v/>
      </c>
      <c r="AE60" s="15" t="str">
        <f aca="false">IF(OR(C60&lt;&gt;"Closed",D60="",F60=""),"",IF(AE11&gt;D60,"",AD120*Loans!C7/12))</f>
        <v/>
      </c>
      <c r="AF60" s="15" t="str">
        <f aca="false">IF(OR(C60&lt;&gt;"Closed",D60="",F60=""),"",IF(AF11&gt;D60,"",AE120*Loans!C7/12))</f>
        <v/>
      </c>
      <c r="AG60" s="15" t="str">
        <f aca="false">IF(OR(C60&lt;&gt;"Closed",D60="",F60=""),"",IF(AG11&gt;D60,"",AF120*Loans!C7/12))</f>
        <v/>
      </c>
      <c r="AH60" s="15" t="str">
        <f aca="false">IF(OR(C60&lt;&gt;"Closed",D60="",F60=""),"",IF(AH11&gt;D60,"",AG120*Loans!C7/12))</f>
        <v/>
      </c>
      <c r="AI60" s="15" t="str">
        <f aca="false">IF(OR(C60&lt;&gt;"Closed",D60="",F60=""),"",IF(AI11&gt;D60,"",AH120*Loans!C7/12))</f>
        <v/>
      </c>
      <c r="AJ60" s="15" t="str">
        <f aca="false">IF(OR(C60&lt;&gt;"Closed",D60="",F60=""),"",IF(AJ11&gt;D60,"",AI120*Loans!C7/12))</f>
        <v/>
      </c>
      <c r="AK60" s="15" t="str">
        <f aca="false">IF(OR(C60&lt;&gt;"Closed",D60="",F60=""),"",IF(AK11&gt;D60,"",AJ120*Loans!C7/12))</f>
        <v/>
      </c>
      <c r="AL60" s="15" t="str">
        <f aca="false">IF(OR(C60&lt;&gt;"Closed",D60="",F60=""),"",IF(AL11&gt;D60,"",AK120*Loans!C7/12))</f>
        <v/>
      </c>
      <c r="AM60" s="15" t="str">
        <f aca="false">IF(OR(C60&lt;&gt;"Closed",D60="",F60=""),"",IF(AM11&gt;D60,"",AL120*Loans!C7/12))</f>
        <v/>
      </c>
      <c r="AN60" s="15" t="str">
        <f aca="false">IF(OR(C60&lt;&gt;"Closed",D60="",F60=""),"",IF(AN11&gt;D60,"",AM120*Loans!C7/12))</f>
        <v/>
      </c>
      <c r="AO60" s="15" t="str">
        <f aca="false">IF(OR(C60&lt;&gt;"Closed",D60="",F60=""),"",IF(AO11&gt;D60,"",AN120*Loans!C7/12))</f>
        <v/>
      </c>
      <c r="AP60" s="15" t="str">
        <f aca="false">IF(OR(C60&lt;&gt;"Closed",D60="",F60=""),"",IF(AP11&gt;D60,"",AO120*Loans!C7/12))</f>
        <v/>
      </c>
      <c r="AQ60" s="15" t="str">
        <f aca="false">IF(OR(C60&lt;&gt;"Closed",D60="",F60=""),"",IF(AQ11&gt;D60,"",AP120*Loans!C7/12))</f>
        <v/>
      </c>
      <c r="AR60" s="15" t="str">
        <f aca="false">IF(OR(C60&lt;&gt;"Closed",D60="",F60=""),"",IF(AR11&gt;D60,"",AQ120*Loans!C7/12))</f>
        <v/>
      </c>
      <c r="AS60" s="15" t="str">
        <f aca="false">IF(OR(C60&lt;&gt;"Closed",D60="",F60=""),"",IF(AS11&gt;D60,"",AR120*Loans!C7/12))</f>
        <v/>
      </c>
      <c r="AT60" s="15" t="str">
        <f aca="false">IF(OR(C60&lt;&gt;"Closed",D60="",F60=""),"",IF(AT11&gt;D60,"",AS120*Loans!C7/12))</f>
        <v/>
      </c>
      <c r="AU60" s="15" t="str">
        <f aca="false">IF(OR(C60&lt;&gt;"Closed",D60="",F60=""),"",IF(AU11&gt;D60,"",AT120*Loans!C7/12))</f>
        <v/>
      </c>
      <c r="AV60" s="15" t="str">
        <f aca="false">IF(OR(C60&lt;&gt;"Closed",D60="",F60=""),"",IF(AV11&gt;D60,"",AU120*Loans!C7/12))</f>
        <v/>
      </c>
      <c r="AW60" s="15" t="str">
        <f aca="false">IF(OR(C60&lt;&gt;"Closed",D60="",F60=""),"",IF(AW11&gt;D60,"",AV120*Loans!C7/12))</f>
        <v/>
      </c>
      <c r="AX60" s="15" t="str">
        <f aca="false">IF(OR(C60&lt;&gt;"Closed",D60="",F60=""),"",IF(AX11&gt;D60,"",AW120*Loans!C7/12))</f>
        <v/>
      </c>
      <c r="AY60" s="15" t="str">
        <f aca="false">IF(OR(C60&lt;&gt;"Closed",D60="",F60=""),"",IF(AY11&gt;D60,"",AX120*Loans!C7/12))</f>
        <v/>
      </c>
      <c r="AZ60" s="15" t="str">
        <f aca="false">IF(OR(C60&lt;&gt;"Closed",D60="",F60=""),"",IF(AZ11&gt;D60,"",AY120*Loans!C7/12))</f>
        <v/>
      </c>
      <c r="BA60" s="15" t="str">
        <f aca="false">IF(OR(C60&lt;&gt;"Closed",D60="",F60=""),"",IF(BA11&gt;D60,"",AZ120*Loans!C7/12))</f>
        <v/>
      </c>
      <c r="BB60" s="15" t="str">
        <f aca="false">IF(OR(C60&lt;&gt;"Closed",D60="",F60=""),"",IF(BB11&gt;D60,"",BA120*Loans!C7/12))</f>
        <v/>
      </c>
      <c r="BC60" s="15" t="str">
        <f aca="false">IF(OR(C60&lt;&gt;"Closed",D60="",F60=""),"",IF(BC11&gt;D60,"",BB120*Loans!C7/12))</f>
        <v/>
      </c>
      <c r="BD60" s="15" t="str">
        <f aca="false">IF(OR(C60&lt;&gt;"Closed",D60="",F60=""),"",IF(BD11&gt;D60,"",BC120*Loans!C7/12))</f>
        <v/>
      </c>
      <c r="BE60" s="15" t="str">
        <f aca="false">IF(OR(C60&lt;&gt;"Closed",D60="",F60=""),"",IF(BE11&gt;D60,"",BD120*Loans!C7/12))</f>
        <v/>
      </c>
      <c r="BF60" s="15" t="str">
        <f aca="false">IF(OR(C60&lt;&gt;"Closed",D60="",F60=""),"",IF(BF11&gt;D60,"",BE120*Loans!C7/12))</f>
        <v/>
      </c>
      <c r="BG60" s="15" t="str">
        <f aca="false">IF(OR(C60&lt;&gt;"Closed",D60="",F60=""),"",IF(BG11&gt;D60,"",BF120*Loans!C7/12))</f>
        <v/>
      </c>
      <c r="BH60" s="15" t="str">
        <f aca="false">IF(OR(C60&lt;&gt;"Closed",D60="",F60=""),"",IF(BH11&gt;D60,"",BG120*Loans!C7/12))</f>
        <v/>
      </c>
      <c r="BI60" s="15" t="str">
        <f aca="false">IF(OR(C60&lt;&gt;"Closed",D60="",F60=""),"",IF(BI11&gt;D60,"",BH120*Loans!C7/12))</f>
        <v/>
      </c>
      <c r="BJ60" s="15" t="str">
        <f aca="false">IF(OR(C60&lt;&gt;"Closed",D60="",F60=""),"",IF(BJ11&gt;D60,"",BI120*Loans!C7/12))</f>
        <v/>
      </c>
      <c r="BK60" s="15" t="str">
        <f aca="false">IF(OR(C60&lt;&gt;"Closed",D60="",F60=""),"",IF(BK11&gt;D60,"",BJ120*Loans!C7/12))</f>
        <v/>
      </c>
      <c r="BL60" s="15" t="str">
        <f aca="false">IF(OR(C60&lt;&gt;"Closed",D60="",F60=""),"",IF(BL11&gt;D60,"",BK120*Loans!C7/12))</f>
        <v/>
      </c>
      <c r="BM60" s="15" t="str">
        <f aca="false">IF(OR(C60&lt;&gt;"Closed",D60="",F60=""),"",IF(BM11&gt;D60,"",BL120*Loans!C7/12))</f>
        <v/>
      </c>
      <c r="BN60" s="15" t="str">
        <f aca="false">IF(OR(C60&lt;&gt;"Closed",D60="",F60=""),"",IF(BN11&gt;D60,"",BM120*Loans!C7/12))</f>
        <v/>
      </c>
      <c r="BO60" s="15" t="str">
        <f aca="false">IF(OR(C60&lt;&gt;"Closed",D60="",F60=""),"",IF(BO11&gt;D60,"",BN120*Loans!C7/12))</f>
        <v/>
      </c>
      <c r="BP60" s="15" t="str">
        <f aca="false">IF(OR(C60&lt;&gt;"Closed",D60="",F60=""),"",IF(BP11&gt;D60,"",BO120*Loans!C7/12))</f>
        <v/>
      </c>
    </row>
    <row r="61" customFormat="false" ht="15" hidden="false" customHeight="false" outlineLevel="0" collapsed="false">
      <c r="A61" s="29" t="str">
        <f aca="false">IF(Loans!A61="","",Loans!A61)</f>
        <v/>
      </c>
      <c r="B61" s="29" t="str">
        <f aca="false">IF(Loans!B61="","",Loans!B61)</f>
        <v/>
      </c>
      <c r="C61" s="29" t="str">
        <f aca="false">IF(Loans!C61="","",Loans!C61)</f>
        <v/>
      </c>
      <c r="D61" s="16" t="str">
        <f aca="false">IF(Loans!I61="","",Loans!I61)</f>
        <v/>
      </c>
      <c r="E61" s="17" t="str">
        <f aca="false">IF(Loans!E61="","",Loans!E61)</f>
        <v/>
      </c>
      <c r="F61" s="15" t="str">
        <f aca="false">IF(Loans!F61="","",Loans!F61)</f>
        <v/>
      </c>
      <c r="G61" s="15" t="str">
        <f aca="false">IF(OR(C61&lt;&gt;"Closed",D61="",F61=""),"",PMT(Loans!C7/12,D61,-F61))</f>
        <v/>
      </c>
      <c r="H61" s="15" t="str">
        <f aca="false">IF(C61&lt;&gt;"Closed","",SUM(I61:BP61))</f>
        <v/>
      </c>
      <c r="I61" s="15" t="str">
        <f aca="false">IF(OR(C61&lt;&gt;"Closed",D61="",F61=""),"",IF(I11&gt;D61,"",F61*Loans!C7/12))</f>
        <v/>
      </c>
      <c r="J61" s="15" t="str">
        <f aca="false">IF(OR(C61&lt;&gt;"Closed",D61="",F61=""),"",IF(J11&gt;D61,"",I121*Loans!C7/12))</f>
        <v/>
      </c>
      <c r="K61" s="15" t="str">
        <f aca="false">IF(OR(C61&lt;&gt;"Closed",D61="",F61=""),"",IF(K11&gt;D61,"",J121*Loans!C7/12))</f>
        <v/>
      </c>
      <c r="L61" s="15" t="str">
        <f aca="false">IF(OR(C61&lt;&gt;"Closed",D61="",F61=""),"",IF(L11&gt;D61,"",K121*Loans!C7/12))</f>
        <v/>
      </c>
      <c r="M61" s="15" t="str">
        <f aca="false">IF(OR(C61&lt;&gt;"Closed",D61="",F61=""),"",IF(M11&gt;D61,"",L121*Loans!C7/12))</f>
        <v/>
      </c>
      <c r="N61" s="15" t="str">
        <f aca="false">IF(OR(C61&lt;&gt;"Closed",D61="",F61=""),"",IF(N11&gt;D61,"",M121*Loans!C7/12))</f>
        <v/>
      </c>
      <c r="O61" s="15" t="str">
        <f aca="false">IF(OR(C61&lt;&gt;"Closed",D61="",F61=""),"",IF(O11&gt;D61,"",N121*Loans!C7/12))</f>
        <v/>
      </c>
      <c r="P61" s="15" t="str">
        <f aca="false">IF(OR(C61&lt;&gt;"Closed",D61="",F61=""),"",IF(P11&gt;D61,"",O121*Loans!C7/12))</f>
        <v/>
      </c>
      <c r="Q61" s="15" t="str">
        <f aca="false">IF(OR(C61&lt;&gt;"Closed",D61="",F61=""),"",IF(Q11&gt;D61,"",P121*Loans!C7/12))</f>
        <v/>
      </c>
      <c r="R61" s="15" t="str">
        <f aca="false">IF(OR(C61&lt;&gt;"Closed",D61="",F61=""),"",IF(R11&gt;D61,"",Q121*Loans!C7/12))</f>
        <v/>
      </c>
      <c r="S61" s="15" t="str">
        <f aca="false">IF(OR(C61&lt;&gt;"Closed",D61="",F61=""),"",IF(S11&gt;D61,"",R121*Loans!C7/12))</f>
        <v/>
      </c>
      <c r="T61" s="15" t="str">
        <f aca="false">IF(OR(C61&lt;&gt;"Closed",D61="",F61=""),"",IF(T11&gt;D61,"",S121*Loans!C7/12))</f>
        <v/>
      </c>
      <c r="U61" s="15" t="str">
        <f aca="false">IF(OR(C61&lt;&gt;"Closed",D61="",F61=""),"",IF(U11&gt;D61,"",T121*Loans!C7/12))</f>
        <v/>
      </c>
      <c r="V61" s="15" t="str">
        <f aca="false">IF(OR(C61&lt;&gt;"Closed",D61="",F61=""),"",IF(V11&gt;D61,"",U121*Loans!C7/12))</f>
        <v/>
      </c>
      <c r="W61" s="15" t="str">
        <f aca="false">IF(OR(C61&lt;&gt;"Closed",D61="",F61=""),"",IF(W11&gt;D61,"",V121*Loans!C7/12))</f>
        <v/>
      </c>
      <c r="X61" s="15" t="str">
        <f aca="false">IF(OR(C61&lt;&gt;"Closed",D61="",F61=""),"",IF(X11&gt;D61,"",W121*Loans!C7/12))</f>
        <v/>
      </c>
      <c r="Y61" s="15" t="str">
        <f aca="false">IF(OR(C61&lt;&gt;"Closed",D61="",F61=""),"",IF(Y11&gt;D61,"",X121*Loans!C7/12))</f>
        <v/>
      </c>
      <c r="Z61" s="15" t="str">
        <f aca="false">IF(OR(C61&lt;&gt;"Closed",D61="",F61=""),"",IF(Z11&gt;D61,"",Y121*Loans!C7/12))</f>
        <v/>
      </c>
      <c r="AA61" s="15" t="str">
        <f aca="false">IF(OR(C61&lt;&gt;"Closed",D61="",F61=""),"",IF(AA11&gt;D61,"",Z121*Loans!C7/12))</f>
        <v/>
      </c>
      <c r="AB61" s="15" t="str">
        <f aca="false">IF(OR(C61&lt;&gt;"Closed",D61="",F61=""),"",IF(AB11&gt;D61,"",AA121*Loans!C7/12))</f>
        <v/>
      </c>
      <c r="AC61" s="15" t="str">
        <f aca="false">IF(OR(C61&lt;&gt;"Closed",D61="",F61=""),"",IF(AC11&gt;D61,"",AB121*Loans!C7/12))</f>
        <v/>
      </c>
      <c r="AD61" s="15" t="str">
        <f aca="false">IF(OR(C61&lt;&gt;"Closed",D61="",F61=""),"",IF(AD11&gt;D61,"",AC121*Loans!C7/12))</f>
        <v/>
      </c>
      <c r="AE61" s="15" t="str">
        <f aca="false">IF(OR(C61&lt;&gt;"Closed",D61="",F61=""),"",IF(AE11&gt;D61,"",AD121*Loans!C7/12))</f>
        <v/>
      </c>
      <c r="AF61" s="15" t="str">
        <f aca="false">IF(OR(C61&lt;&gt;"Closed",D61="",F61=""),"",IF(AF11&gt;D61,"",AE121*Loans!C7/12))</f>
        <v/>
      </c>
      <c r="AG61" s="15" t="str">
        <f aca="false">IF(OR(C61&lt;&gt;"Closed",D61="",F61=""),"",IF(AG11&gt;D61,"",AF121*Loans!C7/12))</f>
        <v/>
      </c>
      <c r="AH61" s="15" t="str">
        <f aca="false">IF(OR(C61&lt;&gt;"Closed",D61="",F61=""),"",IF(AH11&gt;D61,"",AG121*Loans!C7/12))</f>
        <v/>
      </c>
      <c r="AI61" s="15" t="str">
        <f aca="false">IF(OR(C61&lt;&gt;"Closed",D61="",F61=""),"",IF(AI11&gt;D61,"",AH121*Loans!C7/12))</f>
        <v/>
      </c>
      <c r="AJ61" s="15" t="str">
        <f aca="false">IF(OR(C61&lt;&gt;"Closed",D61="",F61=""),"",IF(AJ11&gt;D61,"",AI121*Loans!C7/12))</f>
        <v/>
      </c>
      <c r="AK61" s="15" t="str">
        <f aca="false">IF(OR(C61&lt;&gt;"Closed",D61="",F61=""),"",IF(AK11&gt;D61,"",AJ121*Loans!C7/12))</f>
        <v/>
      </c>
      <c r="AL61" s="15" t="str">
        <f aca="false">IF(OR(C61&lt;&gt;"Closed",D61="",F61=""),"",IF(AL11&gt;D61,"",AK121*Loans!C7/12))</f>
        <v/>
      </c>
      <c r="AM61" s="15" t="str">
        <f aca="false">IF(OR(C61&lt;&gt;"Closed",D61="",F61=""),"",IF(AM11&gt;D61,"",AL121*Loans!C7/12))</f>
        <v/>
      </c>
      <c r="AN61" s="15" t="str">
        <f aca="false">IF(OR(C61&lt;&gt;"Closed",D61="",F61=""),"",IF(AN11&gt;D61,"",AM121*Loans!C7/12))</f>
        <v/>
      </c>
      <c r="AO61" s="15" t="str">
        <f aca="false">IF(OR(C61&lt;&gt;"Closed",D61="",F61=""),"",IF(AO11&gt;D61,"",AN121*Loans!C7/12))</f>
        <v/>
      </c>
      <c r="AP61" s="15" t="str">
        <f aca="false">IF(OR(C61&lt;&gt;"Closed",D61="",F61=""),"",IF(AP11&gt;D61,"",AO121*Loans!C7/12))</f>
        <v/>
      </c>
      <c r="AQ61" s="15" t="str">
        <f aca="false">IF(OR(C61&lt;&gt;"Closed",D61="",F61=""),"",IF(AQ11&gt;D61,"",AP121*Loans!C7/12))</f>
        <v/>
      </c>
      <c r="AR61" s="15" t="str">
        <f aca="false">IF(OR(C61&lt;&gt;"Closed",D61="",F61=""),"",IF(AR11&gt;D61,"",AQ121*Loans!C7/12))</f>
        <v/>
      </c>
      <c r="AS61" s="15" t="str">
        <f aca="false">IF(OR(C61&lt;&gt;"Closed",D61="",F61=""),"",IF(AS11&gt;D61,"",AR121*Loans!C7/12))</f>
        <v/>
      </c>
      <c r="AT61" s="15" t="str">
        <f aca="false">IF(OR(C61&lt;&gt;"Closed",D61="",F61=""),"",IF(AT11&gt;D61,"",AS121*Loans!C7/12))</f>
        <v/>
      </c>
      <c r="AU61" s="15" t="str">
        <f aca="false">IF(OR(C61&lt;&gt;"Closed",D61="",F61=""),"",IF(AU11&gt;D61,"",AT121*Loans!C7/12))</f>
        <v/>
      </c>
      <c r="AV61" s="15" t="str">
        <f aca="false">IF(OR(C61&lt;&gt;"Closed",D61="",F61=""),"",IF(AV11&gt;D61,"",AU121*Loans!C7/12))</f>
        <v/>
      </c>
      <c r="AW61" s="15" t="str">
        <f aca="false">IF(OR(C61&lt;&gt;"Closed",D61="",F61=""),"",IF(AW11&gt;D61,"",AV121*Loans!C7/12))</f>
        <v/>
      </c>
      <c r="AX61" s="15" t="str">
        <f aca="false">IF(OR(C61&lt;&gt;"Closed",D61="",F61=""),"",IF(AX11&gt;D61,"",AW121*Loans!C7/12))</f>
        <v/>
      </c>
      <c r="AY61" s="15" t="str">
        <f aca="false">IF(OR(C61&lt;&gt;"Closed",D61="",F61=""),"",IF(AY11&gt;D61,"",AX121*Loans!C7/12))</f>
        <v/>
      </c>
      <c r="AZ61" s="15" t="str">
        <f aca="false">IF(OR(C61&lt;&gt;"Closed",D61="",F61=""),"",IF(AZ11&gt;D61,"",AY121*Loans!C7/12))</f>
        <v/>
      </c>
      <c r="BA61" s="15" t="str">
        <f aca="false">IF(OR(C61&lt;&gt;"Closed",D61="",F61=""),"",IF(BA11&gt;D61,"",AZ121*Loans!C7/12))</f>
        <v/>
      </c>
      <c r="BB61" s="15" t="str">
        <f aca="false">IF(OR(C61&lt;&gt;"Closed",D61="",F61=""),"",IF(BB11&gt;D61,"",BA121*Loans!C7/12))</f>
        <v/>
      </c>
      <c r="BC61" s="15" t="str">
        <f aca="false">IF(OR(C61&lt;&gt;"Closed",D61="",F61=""),"",IF(BC11&gt;D61,"",BB121*Loans!C7/12))</f>
        <v/>
      </c>
      <c r="BD61" s="15" t="str">
        <f aca="false">IF(OR(C61&lt;&gt;"Closed",D61="",F61=""),"",IF(BD11&gt;D61,"",BC121*Loans!C7/12))</f>
        <v/>
      </c>
      <c r="BE61" s="15" t="str">
        <f aca="false">IF(OR(C61&lt;&gt;"Closed",D61="",F61=""),"",IF(BE11&gt;D61,"",BD121*Loans!C7/12))</f>
        <v/>
      </c>
      <c r="BF61" s="15" t="str">
        <f aca="false">IF(OR(C61&lt;&gt;"Closed",D61="",F61=""),"",IF(BF11&gt;D61,"",BE121*Loans!C7/12))</f>
        <v/>
      </c>
      <c r="BG61" s="15" t="str">
        <f aca="false">IF(OR(C61&lt;&gt;"Closed",D61="",F61=""),"",IF(BG11&gt;D61,"",BF121*Loans!C7/12))</f>
        <v/>
      </c>
      <c r="BH61" s="15" t="str">
        <f aca="false">IF(OR(C61&lt;&gt;"Closed",D61="",F61=""),"",IF(BH11&gt;D61,"",BG121*Loans!C7/12))</f>
        <v/>
      </c>
      <c r="BI61" s="15" t="str">
        <f aca="false">IF(OR(C61&lt;&gt;"Closed",D61="",F61=""),"",IF(BI11&gt;D61,"",BH121*Loans!C7/12))</f>
        <v/>
      </c>
      <c r="BJ61" s="15" t="str">
        <f aca="false">IF(OR(C61&lt;&gt;"Closed",D61="",F61=""),"",IF(BJ11&gt;D61,"",BI121*Loans!C7/12))</f>
        <v/>
      </c>
      <c r="BK61" s="15" t="str">
        <f aca="false">IF(OR(C61&lt;&gt;"Closed",D61="",F61=""),"",IF(BK11&gt;D61,"",BJ121*Loans!C7/12))</f>
        <v/>
      </c>
      <c r="BL61" s="15" t="str">
        <f aca="false">IF(OR(C61&lt;&gt;"Closed",D61="",F61=""),"",IF(BL11&gt;D61,"",BK121*Loans!C7/12))</f>
        <v/>
      </c>
      <c r="BM61" s="15" t="str">
        <f aca="false">IF(OR(C61&lt;&gt;"Closed",D61="",F61=""),"",IF(BM11&gt;D61,"",BL121*Loans!C7/12))</f>
        <v/>
      </c>
      <c r="BN61" s="15" t="str">
        <f aca="false">IF(OR(C61&lt;&gt;"Closed",D61="",F61=""),"",IF(BN11&gt;D61,"",BM121*Loans!C7/12))</f>
        <v/>
      </c>
      <c r="BO61" s="15" t="str">
        <f aca="false">IF(OR(C61&lt;&gt;"Closed",D61="",F61=""),"",IF(BO11&gt;D61,"",BN121*Loans!C7/12))</f>
        <v/>
      </c>
      <c r="BP61" s="15" t="str">
        <f aca="false">IF(OR(C61&lt;&gt;"Closed",D61="",F61=""),"",IF(BP11&gt;D61,"",BO121*Loans!C7/12))</f>
        <v/>
      </c>
    </row>
    <row r="62" customFormat="false" ht="15" hidden="false" customHeight="false" outlineLevel="0" collapsed="false">
      <c r="A62" s="19" t="s">
        <v>43</v>
      </c>
      <c r="H62" s="21" t="n">
        <f aca="false">SUM(H12:H61)</f>
        <v>486.520907465497</v>
      </c>
    </row>
    <row r="70" customFormat="false" ht="15" hidden="false" customHeight="false" outlineLevel="0" collapsed="false">
      <c r="A70" s="28" t="s">
        <v>73</v>
      </c>
    </row>
    <row r="71" customFormat="false" ht="42" hidden="false" customHeight="true" outlineLevel="0" collapsed="false">
      <c r="A71" s="10" t="s">
        <v>13</v>
      </c>
      <c r="B71" s="10" t="s">
        <v>70</v>
      </c>
      <c r="C71" s="10" t="s">
        <v>15</v>
      </c>
      <c r="D71" s="10" t="s">
        <v>21</v>
      </c>
      <c r="E71" s="10" t="s">
        <v>50</v>
      </c>
      <c r="F71" s="10" t="s">
        <v>18</v>
      </c>
      <c r="G71" s="10" t="s">
        <v>71</v>
      </c>
      <c r="I71" s="10" t="n">
        <v>1</v>
      </c>
      <c r="J71" s="10" t="n">
        <v>2</v>
      </c>
      <c r="K71" s="10" t="n">
        <v>3</v>
      </c>
      <c r="L71" s="10" t="n">
        <v>4</v>
      </c>
      <c r="M71" s="10" t="n">
        <v>5</v>
      </c>
      <c r="N71" s="10" t="n">
        <v>6</v>
      </c>
      <c r="O71" s="10" t="n">
        <v>7</v>
      </c>
      <c r="P71" s="10" t="n">
        <v>8</v>
      </c>
      <c r="Q71" s="10" t="n">
        <v>9</v>
      </c>
      <c r="R71" s="10" t="n">
        <v>10</v>
      </c>
      <c r="S71" s="10" t="n">
        <v>11</v>
      </c>
      <c r="T71" s="10" t="n">
        <v>12</v>
      </c>
      <c r="U71" s="10" t="n">
        <v>13</v>
      </c>
      <c r="V71" s="10" t="n">
        <v>14</v>
      </c>
      <c r="W71" s="10" t="n">
        <v>15</v>
      </c>
      <c r="X71" s="10" t="n">
        <v>16</v>
      </c>
      <c r="Y71" s="10" t="n">
        <v>17</v>
      </c>
      <c r="Z71" s="10" t="n">
        <v>18</v>
      </c>
      <c r="AA71" s="10" t="n">
        <v>19</v>
      </c>
      <c r="AB71" s="10" t="n">
        <v>20</v>
      </c>
      <c r="AC71" s="10" t="n">
        <v>21</v>
      </c>
      <c r="AD71" s="10" t="n">
        <v>22</v>
      </c>
      <c r="AE71" s="10" t="n">
        <v>23</v>
      </c>
      <c r="AF71" s="10" t="n">
        <v>24</v>
      </c>
      <c r="AG71" s="10" t="n">
        <v>25</v>
      </c>
      <c r="AH71" s="10" t="n">
        <v>26</v>
      </c>
      <c r="AI71" s="10" t="n">
        <v>27</v>
      </c>
      <c r="AJ71" s="10" t="n">
        <v>28</v>
      </c>
      <c r="AK71" s="10" t="n">
        <v>29</v>
      </c>
      <c r="AL71" s="10" t="n">
        <v>30</v>
      </c>
      <c r="AM71" s="10" t="n">
        <v>31</v>
      </c>
      <c r="AN71" s="10" t="n">
        <v>32</v>
      </c>
      <c r="AO71" s="10" t="n">
        <v>33</v>
      </c>
      <c r="AP71" s="10" t="n">
        <v>34</v>
      </c>
      <c r="AQ71" s="10" t="n">
        <v>35</v>
      </c>
      <c r="AR71" s="10" t="n">
        <v>36</v>
      </c>
      <c r="AS71" s="10" t="n">
        <v>37</v>
      </c>
      <c r="AT71" s="10" t="n">
        <v>38</v>
      </c>
      <c r="AU71" s="10" t="n">
        <v>39</v>
      </c>
      <c r="AV71" s="10" t="n">
        <v>40</v>
      </c>
      <c r="AW71" s="10" t="n">
        <v>41</v>
      </c>
      <c r="AX71" s="10" t="n">
        <v>42</v>
      </c>
      <c r="AY71" s="10" t="n">
        <v>43</v>
      </c>
      <c r="AZ71" s="10" t="n">
        <v>44</v>
      </c>
      <c r="BA71" s="10" t="n">
        <v>45</v>
      </c>
      <c r="BB71" s="10" t="n">
        <v>46</v>
      </c>
      <c r="BC71" s="10" t="n">
        <v>47</v>
      </c>
      <c r="BD71" s="10" t="n">
        <v>48</v>
      </c>
      <c r="BE71" s="10" t="n">
        <v>49</v>
      </c>
      <c r="BF71" s="10" t="n">
        <v>50</v>
      </c>
      <c r="BG71" s="10" t="n">
        <v>51</v>
      </c>
      <c r="BH71" s="10" t="n">
        <v>52</v>
      </c>
      <c r="BI71" s="10" t="n">
        <v>53</v>
      </c>
      <c r="BJ71" s="10" t="n">
        <v>54</v>
      </c>
      <c r="BK71" s="10" t="n">
        <v>55</v>
      </c>
      <c r="BL71" s="10" t="n">
        <v>56</v>
      </c>
      <c r="BM71" s="10" t="n">
        <v>57</v>
      </c>
      <c r="BN71" s="10" t="n">
        <v>58</v>
      </c>
      <c r="BO71" s="10" t="n">
        <v>59</v>
      </c>
      <c r="BP71" s="10" t="n">
        <v>60</v>
      </c>
    </row>
    <row r="72" customFormat="false" ht="15" hidden="false" customHeight="false" outlineLevel="0" collapsed="false">
      <c r="A72" s="29" t="n">
        <f aca="false">A12</f>
        <v>1</v>
      </c>
      <c r="B72" s="29" t="str">
        <f aca="false">B12</f>
        <v>SAMPLE Client A (replace)</v>
      </c>
      <c r="C72" s="29" t="str">
        <f aca="false">C12</f>
        <v>Closed</v>
      </c>
      <c r="D72" s="16" t="n">
        <f aca="false">D12</f>
        <v>60</v>
      </c>
      <c r="E72" s="17" t="n">
        <f aca="false">E12</f>
        <v>46249</v>
      </c>
      <c r="F72" s="15" t="n">
        <f aca="false">F12</f>
        <v>38127.43</v>
      </c>
      <c r="G72" s="15" t="n">
        <f aca="false">G12</f>
        <v>643.565848457758</v>
      </c>
      <c r="I72" s="15" t="n">
        <f aca="false">IF(I12="","",IF(I71=D12,0,F12-(G12-I12)))</f>
        <v>37499.7505807089</v>
      </c>
      <c r="J72" s="15" t="n">
        <f aca="false">IF(J12="","",IF(J71=D12,0,I72-(G12-J12)))</f>
        <v>36871.8096283264</v>
      </c>
      <c r="K72" s="15" t="n">
        <f aca="false">IF(K12="","",IF(K71=D12,0,J72-(G12-K12)))</f>
        <v>36243.6070338805</v>
      </c>
      <c r="L72" s="15" t="n">
        <f aca="false">IF(L12="","",IF(L71=D12,0,K72-(G12-L12)))</f>
        <v>35615.1426883535</v>
      </c>
      <c r="M72" s="15" t="n">
        <f aca="false">IF(M12="","",IF(M71=D12,0,L72-(G12-M12)))</f>
        <v>34986.4164826826</v>
      </c>
      <c r="N72" s="15" t="n">
        <f aca="false">IF(N12="","",IF(N71=D12,0,M72-(G12-N12)))</f>
        <v>34357.4283077593</v>
      </c>
      <c r="O72" s="15" t="n">
        <f aca="false">IF(O12="","",IF(O71=D12,0,N72-(G12-O12)))</f>
        <v>33728.1780544297</v>
      </c>
      <c r="P72" s="15" t="n">
        <f aca="false">IF(P12="","",IF(P71=D12,0,O72-(G12-P12)))</f>
        <v>33098.6656134947</v>
      </c>
      <c r="Q72" s="15" t="n">
        <f aca="false">IF(Q12="","",IF(Q71=D12,0,P72-(G12-Q12)))</f>
        <v>32468.8908757092</v>
      </c>
      <c r="R72" s="15" t="n">
        <f aca="false">IF(R12="","",IF(R71=D12,0,Q72-(G12-R12)))</f>
        <v>31838.853731783</v>
      </c>
      <c r="S72" s="15" t="n">
        <f aca="false">IF(S12="","",IF(S71=D12,0,R72-(G12-S12)))</f>
        <v>31208.5540723801</v>
      </c>
      <c r="T72" s="15" t="n">
        <f aca="false">IF(T12="","",IF(T71=D12,0,S72-(G12-T12)))</f>
        <v>30577.9917881192</v>
      </c>
      <c r="U72" s="15" t="n">
        <f aca="false">IF(U12="","",IF(U71=D12,0,T72-(G12-U12)))</f>
        <v>29947.1667695732</v>
      </c>
      <c r="V72" s="15" t="n">
        <f aca="false">IF(V12="","",IF(V71=D12,0,U72-(G12-V12)))</f>
        <v>29316.0789072694</v>
      </c>
      <c r="W72" s="15" t="n">
        <f aca="false">IF(W12="","",IF(W71=D12,0,V72-(G12-W12)))</f>
        <v>28684.7280916897</v>
      </c>
      <c r="X72" s="15" t="n">
        <f aca="false">IF(X12="","",IF(X71=D12,0,W72-(G12-X12)))</f>
        <v>28053.1142132701</v>
      </c>
      <c r="Y72" s="15" t="n">
        <f aca="false">IF(Y12="","",IF(Y71=D12,0,X72-(G12-Y12)))</f>
        <v>27421.2371624012</v>
      </c>
      <c r="Z72" s="15" t="n">
        <f aca="false">IF(Z12="","",IF(Z71=D12,0,Y72-(G12-Z12)))</f>
        <v>26789.0968294278</v>
      </c>
      <c r="AA72" s="15" t="n">
        <f aca="false">IF(AA12="","",IF(AA71=D12,0,Z72-(G12-AA12)))</f>
        <v>26156.6931046489</v>
      </c>
      <c r="AB72" s="15" t="n">
        <f aca="false">IF(AB12="","",IF(AB71=D12,0,AA72-(G12-AB12)))</f>
        <v>25524.0258783181</v>
      </c>
      <c r="AC72" s="15" t="n">
        <f aca="false">IF(AC12="","",IF(AC71=D12,0,AB72-(G12-AC12)))</f>
        <v>24891.095040643</v>
      </c>
      <c r="AD72" s="15" t="n">
        <f aca="false">IF(AD12="","",IF(AD71=D12,0,AC72-(G12-AD12)))</f>
        <v>24257.9004817855</v>
      </c>
      <c r="AE72" s="15" t="n">
        <f aca="false">IF(AE12="","",IF(AE71=D12,0,AD72-(G12-AE12)))</f>
        <v>23624.4420918618</v>
      </c>
      <c r="AF72" s="15" t="n">
        <f aca="false">IF(AF12="","",IF(AF71=D12,0,AE72-(G12-AF12)))</f>
        <v>22990.7197609424</v>
      </c>
      <c r="AG72" s="15" t="n">
        <f aca="false">IF(AG12="","",IF(AG71=D12,0,AF72-(G12-AG12)))</f>
        <v>22356.7333790517</v>
      </c>
      <c r="AH72" s="15" t="n">
        <f aca="false">IF(AH12="","",IF(AH71=D12,0,AG72-(G12-AH12)))</f>
        <v>21722.4828361685</v>
      </c>
      <c r="AI72" s="15" t="n">
        <f aca="false">IF(AI12="","",IF(AI71=D12,0,AH72-(G12-AI12)))</f>
        <v>21087.9680222258</v>
      </c>
      <c r="AJ72" s="15" t="n">
        <f aca="false">IF(AJ12="","",IF(AJ71=D12,0,AI72-(G12-AJ12)))</f>
        <v>20453.1888271106</v>
      </c>
      <c r="AK72" s="15" t="n">
        <f aca="false">IF(AK12="","",IF(AK71=D12,0,AJ72-(G12-AK12)))</f>
        <v>19818.1451406642</v>
      </c>
      <c r="AL72" s="15" t="n">
        <f aca="false">IF(AL12="","",IF(AL71=D12,0,AK72-(G12-AL12)))</f>
        <v>19182.8368526817</v>
      </c>
      <c r="AM72" s="15" t="n">
        <f aca="false">IF(AM12="","",IF(AM71=D12,0,AL72-(G12-AM12)))</f>
        <v>18547.2638529126</v>
      </c>
      <c r="AN72" s="15" t="n">
        <f aca="false">IF(AN12="","",IF(AN71=D12,0,AM72-(G12-AN12)))</f>
        <v>17911.4260310602</v>
      </c>
      <c r="AO72" s="15" t="n">
        <f aca="false">IF(AO12="","",IF(AO71=D12,0,AN72-(G12-AO12)))</f>
        <v>17275.323276782</v>
      </c>
      <c r="AP72" s="15" t="n">
        <f aca="false">IF(AP12="","",IF(AP71=D12,0,AO72-(G12-AP12)))</f>
        <v>16638.9554796896</v>
      </c>
      <c r="AQ72" s="15" t="n">
        <f aca="false">IF(AQ12="","",IF(AQ71=D12,0,AP72-(G12-AQ12)))</f>
        <v>16002.3225293484</v>
      </c>
      <c r="AR72" s="15" t="n">
        <f aca="false">IF(AR12="","",IF(AR71=D12,0,AQ72-(G12-AR12)))</f>
        <v>15365.4243152778</v>
      </c>
      <c r="AS72" s="15" t="n">
        <f aca="false">IF(AS12="","",IF(AS71=D12,0,AR72-(G12-AS12)))</f>
        <v>14728.2607269515</v>
      </c>
      <c r="AT72" s="15" t="n">
        <f aca="false">IF(AT12="","",IF(AT71=D12,0,AS72-(G12-AT12)))</f>
        <v>14090.8316537966</v>
      </c>
      <c r="AU72" s="15" t="n">
        <f aca="false">IF(AU12="","",IF(AU71=D12,0,AT72-(G12-AU12)))</f>
        <v>13453.1369851946</v>
      </c>
      <c r="AV72" s="15" t="n">
        <f aca="false">IF(AV12="","",IF(AV71=D12,0,AU72-(G12-AV12)))</f>
        <v>12815.1766104807</v>
      </c>
      <c r="AW72" s="15" t="n">
        <f aca="false">IF(AW12="","",IF(AW71=D12,0,AV72-(G12-AW12)))</f>
        <v>12176.9504189439</v>
      </c>
      <c r="AX72" s="15" t="n">
        <f aca="false">IF(AX12="","",IF(AX71=D12,0,AW72-(G12-AX12)))</f>
        <v>11538.4582998274</v>
      </c>
      <c r="AY72" s="15" t="n">
        <f aca="false">IF(AY12="","",IF(AY71=D12,0,AX72-(G12-AY12)))</f>
        <v>10899.7001423279</v>
      </c>
      <c r="AZ72" s="15" t="n">
        <f aca="false">IF(AZ12="","",IF(AZ71=D12,0,AY72-(G12-AZ12)))</f>
        <v>10260.6758355961</v>
      </c>
      <c r="BA72" s="15" t="n">
        <f aca="false">IF(BA12="","",IF(BA71=D12,0,AZ72-(G12-BA12)))</f>
        <v>9621.38526873652</v>
      </c>
      <c r="BB72" s="15" t="n">
        <f aca="false">IF(BB12="","",IF(BB71=D12,0,BA72-(G12-BB12)))</f>
        <v>8981.8283308074</v>
      </c>
      <c r="BC72" s="15" t="n">
        <f aca="false">IF(BC12="","",IF(BC71=D12,0,BB72-(G12-BC12)))</f>
        <v>8342.00491082081</v>
      </c>
      <c r="BD72" s="15" t="n">
        <f aca="false">IF(BD12="","",IF(BD71=D12,0,BC72-(G12-BD12)))</f>
        <v>7701.91489774256</v>
      </c>
      <c r="BE72" s="15" t="n">
        <f aca="false">IF(BE12="","",IF(BE71=D12,0,BD72-(G12-BE12)))</f>
        <v>7061.55818049219</v>
      </c>
      <c r="BF72" s="15" t="n">
        <f aca="false">IF(BF12="","",IF(BF71=D12,0,BE72-(G12-BF12)))</f>
        <v>6420.93464794297</v>
      </c>
      <c r="BG72" s="15" t="n">
        <f aca="false">IF(BG12="","",IF(BG71=D12,0,BF72-(G12-BG12)))</f>
        <v>5780.04418892186</v>
      </c>
      <c r="BH72" s="15" t="n">
        <f aca="false">IF(BH12="","",IF(BH71=D12,0,BG72-(G12-BH12)))</f>
        <v>5138.88669220948</v>
      </c>
      <c r="BI72" s="15" t="n">
        <f aca="false">IF(BI12="","",IF(BI71=D12,0,BH72-(G12-BI12)))</f>
        <v>4497.46204654015</v>
      </c>
      <c r="BJ72" s="15" t="n">
        <f aca="false">IF(BJ12="","",IF(BJ71=D12,0,BI72-(G12-BJ12)))</f>
        <v>3855.77014060178</v>
      </c>
      <c r="BK72" s="15" t="n">
        <f aca="false">IF(BK12="","",IF(BK71=D12,0,BJ72-(G12-BK12)))</f>
        <v>3213.81086303594</v>
      </c>
      <c r="BL72" s="15" t="n">
        <f aca="false">IF(BL12="","",IF(BL71=D12,0,BK72-(G12-BL12)))</f>
        <v>2571.58410243778</v>
      </c>
      <c r="BM72" s="15" t="n">
        <f aca="false">IF(BM12="","",IF(BM71=D12,0,BL72-(G12-BM12)))</f>
        <v>1929.08974735604</v>
      </c>
      <c r="BN72" s="15" t="n">
        <f aca="false">IF(BN12="","",IF(BN71=D12,0,BM72-(G12-BN12)))</f>
        <v>1286.32768629301</v>
      </c>
      <c r="BO72" s="15" t="n">
        <f aca="false">IF(BO12="","",IF(BO71=D12,0,BN72-(G12-BO12)))</f>
        <v>643.297807704539</v>
      </c>
      <c r="BP72" s="15" t="n">
        <f aca="false">IF(BP12="","",IF(BP71=D12,0,BO72-(G12-BP12)))</f>
        <v>0</v>
      </c>
    </row>
    <row r="73" customFormat="false" ht="15" hidden="false" customHeight="false" outlineLevel="0" collapsed="false">
      <c r="A73" s="29" t="n">
        <f aca="false">A13</f>
        <v>2</v>
      </c>
      <c r="B73" s="29" t="str">
        <f aca="false">B13</f>
        <v>SAMPLE Client B (replace)</v>
      </c>
      <c r="C73" s="29" t="str">
        <f aca="false">C13</f>
        <v>Pipeline</v>
      </c>
      <c r="D73" s="16" t="n">
        <f aca="false">D13</f>
        <v>60</v>
      </c>
      <c r="E73" s="17" t="n">
        <f aca="false">E13</f>
        <v>46371</v>
      </c>
      <c r="F73" s="15" t="n">
        <f aca="false">F13</f>
        <v>58000</v>
      </c>
      <c r="G73" s="15" t="str">
        <f aca="false">G13</f>
        <v/>
      </c>
      <c r="I73" s="15" t="str">
        <f aca="false">IF(I13="","",IF(I71=D13,0,F13-(G13-I13)))</f>
        <v/>
      </c>
      <c r="J73" s="15" t="str">
        <f aca="false">IF(J13="","",IF(J71=D13,0,I73-(G13-J13)))</f>
        <v/>
      </c>
      <c r="K73" s="15" t="str">
        <f aca="false">IF(K13="","",IF(K71=D13,0,J73-(G13-K13)))</f>
        <v/>
      </c>
      <c r="L73" s="15" t="str">
        <f aca="false">IF(L13="","",IF(L71=D13,0,K73-(G13-L13)))</f>
        <v/>
      </c>
      <c r="M73" s="15" t="str">
        <f aca="false">IF(M13="","",IF(M71=D13,0,L73-(G13-M13)))</f>
        <v/>
      </c>
      <c r="N73" s="15" t="str">
        <f aca="false">IF(N13="","",IF(N71=D13,0,M73-(G13-N13)))</f>
        <v/>
      </c>
      <c r="O73" s="15" t="str">
        <f aca="false">IF(O13="","",IF(O71=D13,0,N73-(G13-O13)))</f>
        <v/>
      </c>
      <c r="P73" s="15" t="str">
        <f aca="false">IF(P13="","",IF(P71=D13,0,O73-(G13-P13)))</f>
        <v/>
      </c>
      <c r="Q73" s="15" t="str">
        <f aca="false">IF(Q13="","",IF(Q71=D13,0,P73-(G13-Q13)))</f>
        <v/>
      </c>
      <c r="R73" s="15" t="str">
        <f aca="false">IF(R13="","",IF(R71=D13,0,Q73-(G13-R13)))</f>
        <v/>
      </c>
      <c r="S73" s="15" t="str">
        <f aca="false">IF(S13="","",IF(S71=D13,0,R73-(G13-S13)))</f>
        <v/>
      </c>
      <c r="T73" s="15" t="str">
        <f aca="false">IF(T13="","",IF(T71=D13,0,S73-(G13-T13)))</f>
        <v/>
      </c>
      <c r="U73" s="15" t="str">
        <f aca="false">IF(U13="","",IF(U71=D13,0,T73-(G13-U13)))</f>
        <v/>
      </c>
      <c r="V73" s="15" t="str">
        <f aca="false">IF(V13="","",IF(V71=D13,0,U73-(G13-V13)))</f>
        <v/>
      </c>
      <c r="W73" s="15" t="str">
        <f aca="false">IF(W13="","",IF(W71=D13,0,V73-(G13-W13)))</f>
        <v/>
      </c>
      <c r="X73" s="15" t="str">
        <f aca="false">IF(X13="","",IF(X71=D13,0,W73-(G13-X13)))</f>
        <v/>
      </c>
      <c r="Y73" s="15" t="str">
        <f aca="false">IF(Y13="","",IF(Y71=D13,0,X73-(G13-Y13)))</f>
        <v/>
      </c>
      <c r="Z73" s="15" t="str">
        <f aca="false">IF(Z13="","",IF(Z71=D13,0,Y73-(G13-Z13)))</f>
        <v/>
      </c>
      <c r="AA73" s="15" t="str">
        <f aca="false">IF(AA13="","",IF(AA71=D13,0,Z73-(G13-AA13)))</f>
        <v/>
      </c>
      <c r="AB73" s="15" t="str">
        <f aca="false">IF(AB13="","",IF(AB71=D13,0,AA73-(G13-AB13)))</f>
        <v/>
      </c>
      <c r="AC73" s="15" t="str">
        <f aca="false">IF(AC13="","",IF(AC71=D13,0,AB73-(G13-AC13)))</f>
        <v/>
      </c>
      <c r="AD73" s="15" t="str">
        <f aca="false">IF(AD13="","",IF(AD71=D13,0,AC73-(G13-AD13)))</f>
        <v/>
      </c>
      <c r="AE73" s="15" t="str">
        <f aca="false">IF(AE13="","",IF(AE71=D13,0,AD73-(G13-AE13)))</f>
        <v/>
      </c>
      <c r="AF73" s="15" t="str">
        <f aca="false">IF(AF13="","",IF(AF71=D13,0,AE73-(G13-AF13)))</f>
        <v/>
      </c>
      <c r="AG73" s="15" t="str">
        <f aca="false">IF(AG13="","",IF(AG71=D13,0,AF73-(G13-AG13)))</f>
        <v/>
      </c>
      <c r="AH73" s="15" t="str">
        <f aca="false">IF(AH13="","",IF(AH71=D13,0,AG73-(G13-AH13)))</f>
        <v/>
      </c>
      <c r="AI73" s="15" t="str">
        <f aca="false">IF(AI13="","",IF(AI71=D13,0,AH73-(G13-AI13)))</f>
        <v/>
      </c>
      <c r="AJ73" s="15" t="str">
        <f aca="false">IF(AJ13="","",IF(AJ71=D13,0,AI73-(G13-AJ13)))</f>
        <v/>
      </c>
      <c r="AK73" s="15" t="str">
        <f aca="false">IF(AK13="","",IF(AK71=D13,0,AJ73-(G13-AK13)))</f>
        <v/>
      </c>
      <c r="AL73" s="15" t="str">
        <f aca="false">IF(AL13="","",IF(AL71=D13,0,AK73-(G13-AL13)))</f>
        <v/>
      </c>
      <c r="AM73" s="15" t="str">
        <f aca="false">IF(AM13="","",IF(AM71=D13,0,AL73-(G13-AM13)))</f>
        <v/>
      </c>
      <c r="AN73" s="15" t="str">
        <f aca="false">IF(AN13="","",IF(AN71=D13,0,AM73-(G13-AN13)))</f>
        <v/>
      </c>
      <c r="AO73" s="15" t="str">
        <f aca="false">IF(AO13="","",IF(AO71=D13,0,AN73-(G13-AO13)))</f>
        <v/>
      </c>
      <c r="AP73" s="15" t="str">
        <f aca="false">IF(AP13="","",IF(AP71=D13,0,AO73-(G13-AP13)))</f>
        <v/>
      </c>
      <c r="AQ73" s="15" t="str">
        <f aca="false">IF(AQ13="","",IF(AQ71=D13,0,AP73-(G13-AQ13)))</f>
        <v/>
      </c>
      <c r="AR73" s="15" t="str">
        <f aca="false">IF(AR13="","",IF(AR71=D13,0,AQ73-(G13-AR13)))</f>
        <v/>
      </c>
      <c r="AS73" s="15" t="str">
        <f aca="false">IF(AS13="","",IF(AS71=D13,0,AR73-(G13-AS13)))</f>
        <v/>
      </c>
      <c r="AT73" s="15" t="str">
        <f aca="false">IF(AT13="","",IF(AT71=D13,0,AS73-(G13-AT13)))</f>
        <v/>
      </c>
      <c r="AU73" s="15" t="str">
        <f aca="false">IF(AU13="","",IF(AU71=D13,0,AT73-(G13-AU13)))</f>
        <v/>
      </c>
      <c r="AV73" s="15" t="str">
        <f aca="false">IF(AV13="","",IF(AV71=D13,0,AU73-(G13-AV13)))</f>
        <v/>
      </c>
      <c r="AW73" s="15" t="str">
        <f aca="false">IF(AW13="","",IF(AW71=D13,0,AV73-(G13-AW13)))</f>
        <v/>
      </c>
      <c r="AX73" s="15" t="str">
        <f aca="false">IF(AX13="","",IF(AX71=D13,0,AW73-(G13-AX13)))</f>
        <v/>
      </c>
      <c r="AY73" s="15" t="str">
        <f aca="false">IF(AY13="","",IF(AY71=D13,0,AX73-(G13-AY13)))</f>
        <v/>
      </c>
      <c r="AZ73" s="15" t="str">
        <f aca="false">IF(AZ13="","",IF(AZ71=D13,0,AY73-(G13-AZ13)))</f>
        <v/>
      </c>
      <c r="BA73" s="15" t="str">
        <f aca="false">IF(BA13="","",IF(BA71=D13,0,AZ73-(G13-BA13)))</f>
        <v/>
      </c>
      <c r="BB73" s="15" t="str">
        <f aca="false">IF(BB13="","",IF(BB71=D13,0,BA73-(G13-BB13)))</f>
        <v/>
      </c>
      <c r="BC73" s="15" t="str">
        <f aca="false">IF(BC13="","",IF(BC71=D13,0,BB73-(G13-BC13)))</f>
        <v/>
      </c>
      <c r="BD73" s="15" t="str">
        <f aca="false">IF(BD13="","",IF(BD71=D13,0,BC73-(G13-BD13)))</f>
        <v/>
      </c>
      <c r="BE73" s="15" t="str">
        <f aca="false">IF(BE13="","",IF(BE71=D13,0,BD73-(G13-BE13)))</f>
        <v/>
      </c>
      <c r="BF73" s="15" t="str">
        <f aca="false">IF(BF13="","",IF(BF71=D13,0,BE73-(G13-BF13)))</f>
        <v/>
      </c>
      <c r="BG73" s="15" t="str">
        <f aca="false">IF(BG13="","",IF(BG71=D13,0,BF73-(G13-BG13)))</f>
        <v/>
      </c>
      <c r="BH73" s="15" t="str">
        <f aca="false">IF(BH13="","",IF(BH71=D13,0,BG73-(G13-BH13)))</f>
        <v/>
      </c>
      <c r="BI73" s="15" t="str">
        <f aca="false">IF(BI13="","",IF(BI71=D13,0,BH73-(G13-BI13)))</f>
        <v/>
      </c>
      <c r="BJ73" s="15" t="str">
        <f aca="false">IF(BJ13="","",IF(BJ71=D13,0,BI73-(G13-BJ13)))</f>
        <v/>
      </c>
      <c r="BK73" s="15" t="str">
        <f aca="false">IF(BK13="","",IF(BK71=D13,0,BJ73-(G13-BK13)))</f>
        <v/>
      </c>
      <c r="BL73" s="15" t="str">
        <f aca="false">IF(BL13="","",IF(BL71=D13,0,BK73-(G13-BL13)))</f>
        <v/>
      </c>
      <c r="BM73" s="15" t="str">
        <f aca="false">IF(BM13="","",IF(BM71=D13,0,BL73-(G13-BM13)))</f>
        <v/>
      </c>
      <c r="BN73" s="15" t="str">
        <f aca="false">IF(BN13="","",IF(BN71=D13,0,BM73-(G13-BN13)))</f>
        <v/>
      </c>
      <c r="BO73" s="15" t="str">
        <f aca="false">IF(BO13="","",IF(BO71=D13,0,BN73-(G13-BO13)))</f>
        <v/>
      </c>
      <c r="BP73" s="15" t="str">
        <f aca="false">IF(BP13="","",IF(BP71=D13,0,BO73-(G13-BP13)))</f>
        <v/>
      </c>
    </row>
    <row r="74" customFormat="false" ht="15" hidden="false" customHeight="false" outlineLevel="0" collapsed="false">
      <c r="A74" s="29" t="n">
        <f aca="false">A14</f>
        <v>3</v>
      </c>
      <c r="B74" s="29" t="str">
        <f aca="false">B14</f>
        <v>SAMPLE Client C (replace)</v>
      </c>
      <c r="C74" s="29" t="str">
        <f aca="false">C14</f>
        <v>Pipeline</v>
      </c>
      <c r="D74" s="16" t="n">
        <f aca="false">D14</f>
        <v>60</v>
      </c>
      <c r="E74" s="17" t="n">
        <f aca="false">E14</f>
        <v>46397</v>
      </c>
      <c r="F74" s="15" t="n">
        <f aca="false">F14</f>
        <v>17500</v>
      </c>
      <c r="G74" s="15" t="str">
        <f aca="false">G14</f>
        <v/>
      </c>
      <c r="I74" s="15" t="str">
        <f aca="false">IF(I14="","",IF(I71=D14,0,F14-(G14-I14)))</f>
        <v/>
      </c>
      <c r="J74" s="15" t="str">
        <f aca="false">IF(J14="","",IF(J71=D14,0,I74-(G14-J14)))</f>
        <v/>
      </c>
      <c r="K74" s="15" t="str">
        <f aca="false">IF(K14="","",IF(K71=D14,0,J74-(G14-K14)))</f>
        <v/>
      </c>
      <c r="L74" s="15" t="str">
        <f aca="false">IF(L14="","",IF(L71=D14,0,K74-(G14-L14)))</f>
        <v/>
      </c>
      <c r="M74" s="15" t="str">
        <f aca="false">IF(M14="","",IF(M71=D14,0,L74-(G14-M14)))</f>
        <v/>
      </c>
      <c r="N74" s="15" t="str">
        <f aca="false">IF(N14="","",IF(N71=D14,0,M74-(G14-N14)))</f>
        <v/>
      </c>
      <c r="O74" s="15" t="str">
        <f aca="false">IF(O14="","",IF(O71=D14,0,N74-(G14-O14)))</f>
        <v/>
      </c>
      <c r="P74" s="15" t="str">
        <f aca="false">IF(P14="","",IF(P71=D14,0,O74-(G14-P14)))</f>
        <v/>
      </c>
      <c r="Q74" s="15" t="str">
        <f aca="false">IF(Q14="","",IF(Q71=D14,0,P74-(G14-Q14)))</f>
        <v/>
      </c>
      <c r="R74" s="15" t="str">
        <f aca="false">IF(R14="","",IF(R71=D14,0,Q74-(G14-R14)))</f>
        <v/>
      </c>
      <c r="S74" s="15" t="str">
        <f aca="false">IF(S14="","",IF(S71=D14,0,R74-(G14-S14)))</f>
        <v/>
      </c>
      <c r="T74" s="15" t="str">
        <f aca="false">IF(T14="","",IF(T71=D14,0,S74-(G14-T14)))</f>
        <v/>
      </c>
      <c r="U74" s="15" t="str">
        <f aca="false">IF(U14="","",IF(U71=D14,0,T74-(G14-U14)))</f>
        <v/>
      </c>
      <c r="V74" s="15" t="str">
        <f aca="false">IF(V14="","",IF(V71=D14,0,U74-(G14-V14)))</f>
        <v/>
      </c>
      <c r="W74" s="15" t="str">
        <f aca="false">IF(W14="","",IF(W71=D14,0,V74-(G14-W14)))</f>
        <v/>
      </c>
      <c r="X74" s="15" t="str">
        <f aca="false">IF(X14="","",IF(X71=D14,0,W74-(G14-X14)))</f>
        <v/>
      </c>
      <c r="Y74" s="15" t="str">
        <f aca="false">IF(Y14="","",IF(Y71=D14,0,X74-(G14-Y14)))</f>
        <v/>
      </c>
      <c r="Z74" s="15" t="str">
        <f aca="false">IF(Z14="","",IF(Z71=D14,0,Y74-(G14-Z14)))</f>
        <v/>
      </c>
      <c r="AA74" s="15" t="str">
        <f aca="false">IF(AA14="","",IF(AA71=D14,0,Z74-(G14-AA14)))</f>
        <v/>
      </c>
      <c r="AB74" s="15" t="str">
        <f aca="false">IF(AB14="","",IF(AB71=D14,0,AA74-(G14-AB14)))</f>
        <v/>
      </c>
      <c r="AC74" s="15" t="str">
        <f aca="false">IF(AC14="","",IF(AC71=D14,0,AB74-(G14-AC14)))</f>
        <v/>
      </c>
      <c r="AD74" s="15" t="str">
        <f aca="false">IF(AD14="","",IF(AD71=D14,0,AC74-(G14-AD14)))</f>
        <v/>
      </c>
      <c r="AE74" s="15" t="str">
        <f aca="false">IF(AE14="","",IF(AE71=D14,0,AD74-(G14-AE14)))</f>
        <v/>
      </c>
      <c r="AF74" s="15" t="str">
        <f aca="false">IF(AF14="","",IF(AF71=D14,0,AE74-(G14-AF14)))</f>
        <v/>
      </c>
      <c r="AG74" s="15" t="str">
        <f aca="false">IF(AG14="","",IF(AG71=D14,0,AF74-(G14-AG14)))</f>
        <v/>
      </c>
      <c r="AH74" s="15" t="str">
        <f aca="false">IF(AH14="","",IF(AH71=D14,0,AG74-(G14-AH14)))</f>
        <v/>
      </c>
      <c r="AI74" s="15" t="str">
        <f aca="false">IF(AI14="","",IF(AI71=D14,0,AH74-(G14-AI14)))</f>
        <v/>
      </c>
      <c r="AJ74" s="15" t="str">
        <f aca="false">IF(AJ14="","",IF(AJ71=D14,0,AI74-(G14-AJ14)))</f>
        <v/>
      </c>
      <c r="AK74" s="15" t="str">
        <f aca="false">IF(AK14="","",IF(AK71=D14,0,AJ74-(G14-AK14)))</f>
        <v/>
      </c>
      <c r="AL74" s="15" t="str">
        <f aca="false">IF(AL14="","",IF(AL71=D14,0,AK74-(G14-AL14)))</f>
        <v/>
      </c>
      <c r="AM74" s="15" t="str">
        <f aca="false">IF(AM14="","",IF(AM71=D14,0,AL74-(G14-AM14)))</f>
        <v/>
      </c>
      <c r="AN74" s="15" t="str">
        <f aca="false">IF(AN14="","",IF(AN71=D14,0,AM74-(G14-AN14)))</f>
        <v/>
      </c>
      <c r="AO74" s="15" t="str">
        <f aca="false">IF(AO14="","",IF(AO71=D14,0,AN74-(G14-AO14)))</f>
        <v/>
      </c>
      <c r="AP74" s="15" t="str">
        <f aca="false">IF(AP14="","",IF(AP71=D14,0,AO74-(G14-AP14)))</f>
        <v/>
      </c>
      <c r="AQ74" s="15" t="str">
        <f aca="false">IF(AQ14="","",IF(AQ71=D14,0,AP74-(G14-AQ14)))</f>
        <v/>
      </c>
      <c r="AR74" s="15" t="str">
        <f aca="false">IF(AR14="","",IF(AR71=D14,0,AQ74-(G14-AR14)))</f>
        <v/>
      </c>
      <c r="AS74" s="15" t="str">
        <f aca="false">IF(AS14="","",IF(AS71=D14,0,AR74-(G14-AS14)))</f>
        <v/>
      </c>
      <c r="AT74" s="15" t="str">
        <f aca="false">IF(AT14="","",IF(AT71=D14,0,AS74-(G14-AT14)))</f>
        <v/>
      </c>
      <c r="AU74" s="15" t="str">
        <f aca="false">IF(AU14="","",IF(AU71=D14,0,AT74-(G14-AU14)))</f>
        <v/>
      </c>
      <c r="AV74" s="15" t="str">
        <f aca="false">IF(AV14="","",IF(AV71=D14,0,AU74-(G14-AV14)))</f>
        <v/>
      </c>
      <c r="AW74" s="15" t="str">
        <f aca="false">IF(AW14="","",IF(AW71=D14,0,AV74-(G14-AW14)))</f>
        <v/>
      </c>
      <c r="AX74" s="15" t="str">
        <f aca="false">IF(AX14="","",IF(AX71=D14,0,AW74-(G14-AX14)))</f>
        <v/>
      </c>
      <c r="AY74" s="15" t="str">
        <f aca="false">IF(AY14="","",IF(AY71=D14,0,AX74-(G14-AY14)))</f>
        <v/>
      </c>
      <c r="AZ74" s="15" t="str">
        <f aca="false">IF(AZ14="","",IF(AZ71=D14,0,AY74-(G14-AZ14)))</f>
        <v/>
      </c>
      <c r="BA74" s="15" t="str">
        <f aca="false">IF(BA14="","",IF(BA71=D14,0,AZ74-(G14-BA14)))</f>
        <v/>
      </c>
      <c r="BB74" s="15" t="str">
        <f aca="false">IF(BB14="","",IF(BB71=D14,0,BA74-(G14-BB14)))</f>
        <v/>
      </c>
      <c r="BC74" s="15" t="str">
        <f aca="false">IF(BC14="","",IF(BC71=D14,0,BB74-(G14-BC14)))</f>
        <v/>
      </c>
      <c r="BD74" s="15" t="str">
        <f aca="false">IF(BD14="","",IF(BD71=D14,0,BC74-(G14-BD14)))</f>
        <v/>
      </c>
      <c r="BE74" s="15" t="str">
        <f aca="false">IF(BE14="","",IF(BE71=D14,0,BD74-(G14-BE14)))</f>
        <v/>
      </c>
      <c r="BF74" s="15" t="str">
        <f aca="false">IF(BF14="","",IF(BF71=D14,0,BE74-(G14-BF14)))</f>
        <v/>
      </c>
      <c r="BG74" s="15" t="str">
        <f aca="false">IF(BG14="","",IF(BG71=D14,0,BF74-(G14-BG14)))</f>
        <v/>
      </c>
      <c r="BH74" s="15" t="str">
        <f aca="false">IF(BH14="","",IF(BH71=D14,0,BG74-(G14-BH14)))</f>
        <v/>
      </c>
      <c r="BI74" s="15" t="str">
        <f aca="false">IF(BI14="","",IF(BI71=D14,0,BH74-(G14-BI14)))</f>
        <v/>
      </c>
      <c r="BJ74" s="15" t="str">
        <f aca="false">IF(BJ14="","",IF(BJ71=D14,0,BI74-(G14-BJ14)))</f>
        <v/>
      </c>
      <c r="BK74" s="15" t="str">
        <f aca="false">IF(BK14="","",IF(BK71=D14,0,BJ74-(G14-BK14)))</f>
        <v/>
      </c>
      <c r="BL74" s="15" t="str">
        <f aca="false">IF(BL14="","",IF(BL71=D14,0,BK74-(G14-BL14)))</f>
        <v/>
      </c>
      <c r="BM74" s="15" t="str">
        <f aca="false">IF(BM14="","",IF(BM71=D14,0,BL74-(G14-BM14)))</f>
        <v/>
      </c>
      <c r="BN74" s="15" t="str">
        <f aca="false">IF(BN14="","",IF(BN71=D14,0,BM74-(G14-BN14)))</f>
        <v/>
      </c>
      <c r="BO74" s="15" t="str">
        <f aca="false">IF(BO14="","",IF(BO71=D14,0,BN74-(G14-BO14)))</f>
        <v/>
      </c>
      <c r="BP74" s="15" t="str">
        <f aca="false">IF(BP14="","",IF(BP71=D14,0,BO74-(G14-BP14)))</f>
        <v/>
      </c>
    </row>
    <row r="75" customFormat="false" ht="15" hidden="false" customHeight="false" outlineLevel="0" collapsed="false">
      <c r="A75" s="29" t="str">
        <f aca="false">A15</f>
        <v/>
      </c>
      <c r="B75" s="29" t="str">
        <f aca="false">B15</f>
        <v/>
      </c>
      <c r="C75" s="29" t="str">
        <f aca="false">C15</f>
        <v/>
      </c>
      <c r="D75" s="16" t="str">
        <f aca="false">D15</f>
        <v/>
      </c>
      <c r="E75" s="17" t="str">
        <f aca="false">E15</f>
        <v/>
      </c>
      <c r="F75" s="15" t="str">
        <f aca="false">F15</f>
        <v/>
      </c>
      <c r="G75" s="15" t="str">
        <f aca="false">G15</f>
        <v/>
      </c>
      <c r="I75" s="15" t="str">
        <f aca="false">IF(I15="","",IF(I71=D15,0,F15-(G15-I15)))</f>
        <v/>
      </c>
      <c r="J75" s="15" t="str">
        <f aca="false">IF(J15="","",IF(J71=D15,0,I75-(G15-J15)))</f>
        <v/>
      </c>
      <c r="K75" s="15" t="str">
        <f aca="false">IF(K15="","",IF(K71=D15,0,J75-(G15-K15)))</f>
        <v/>
      </c>
      <c r="L75" s="15" t="str">
        <f aca="false">IF(L15="","",IF(L71=D15,0,K75-(G15-L15)))</f>
        <v/>
      </c>
      <c r="M75" s="15" t="str">
        <f aca="false">IF(M15="","",IF(M71=D15,0,L75-(G15-M15)))</f>
        <v/>
      </c>
      <c r="N75" s="15" t="str">
        <f aca="false">IF(N15="","",IF(N71=D15,0,M75-(G15-N15)))</f>
        <v/>
      </c>
      <c r="O75" s="15" t="str">
        <f aca="false">IF(O15="","",IF(O71=D15,0,N75-(G15-O15)))</f>
        <v/>
      </c>
      <c r="P75" s="15" t="str">
        <f aca="false">IF(P15="","",IF(P71=D15,0,O75-(G15-P15)))</f>
        <v/>
      </c>
      <c r="Q75" s="15" t="str">
        <f aca="false">IF(Q15="","",IF(Q71=D15,0,P75-(G15-Q15)))</f>
        <v/>
      </c>
      <c r="R75" s="15" t="str">
        <f aca="false">IF(R15="","",IF(R71=D15,0,Q75-(G15-R15)))</f>
        <v/>
      </c>
      <c r="S75" s="15" t="str">
        <f aca="false">IF(S15="","",IF(S71=D15,0,R75-(G15-S15)))</f>
        <v/>
      </c>
      <c r="T75" s="15" t="str">
        <f aca="false">IF(T15="","",IF(T71=D15,0,S75-(G15-T15)))</f>
        <v/>
      </c>
      <c r="U75" s="15" t="str">
        <f aca="false">IF(U15="","",IF(U71=D15,0,T75-(G15-U15)))</f>
        <v/>
      </c>
      <c r="V75" s="15" t="str">
        <f aca="false">IF(V15="","",IF(V71=D15,0,U75-(G15-V15)))</f>
        <v/>
      </c>
      <c r="W75" s="15" t="str">
        <f aca="false">IF(W15="","",IF(W71=D15,0,V75-(G15-W15)))</f>
        <v/>
      </c>
      <c r="X75" s="15" t="str">
        <f aca="false">IF(X15="","",IF(X71=D15,0,W75-(G15-X15)))</f>
        <v/>
      </c>
      <c r="Y75" s="15" t="str">
        <f aca="false">IF(Y15="","",IF(Y71=D15,0,X75-(G15-Y15)))</f>
        <v/>
      </c>
      <c r="Z75" s="15" t="str">
        <f aca="false">IF(Z15="","",IF(Z71=D15,0,Y75-(G15-Z15)))</f>
        <v/>
      </c>
      <c r="AA75" s="15" t="str">
        <f aca="false">IF(AA15="","",IF(AA71=D15,0,Z75-(G15-AA15)))</f>
        <v/>
      </c>
      <c r="AB75" s="15" t="str">
        <f aca="false">IF(AB15="","",IF(AB71=D15,0,AA75-(G15-AB15)))</f>
        <v/>
      </c>
      <c r="AC75" s="15" t="str">
        <f aca="false">IF(AC15="","",IF(AC71=D15,0,AB75-(G15-AC15)))</f>
        <v/>
      </c>
      <c r="AD75" s="15" t="str">
        <f aca="false">IF(AD15="","",IF(AD71=D15,0,AC75-(G15-AD15)))</f>
        <v/>
      </c>
      <c r="AE75" s="15" t="str">
        <f aca="false">IF(AE15="","",IF(AE71=D15,0,AD75-(G15-AE15)))</f>
        <v/>
      </c>
      <c r="AF75" s="15" t="str">
        <f aca="false">IF(AF15="","",IF(AF71=D15,0,AE75-(G15-AF15)))</f>
        <v/>
      </c>
      <c r="AG75" s="15" t="str">
        <f aca="false">IF(AG15="","",IF(AG71=D15,0,AF75-(G15-AG15)))</f>
        <v/>
      </c>
      <c r="AH75" s="15" t="str">
        <f aca="false">IF(AH15="","",IF(AH71=D15,0,AG75-(G15-AH15)))</f>
        <v/>
      </c>
      <c r="AI75" s="15" t="str">
        <f aca="false">IF(AI15="","",IF(AI71=D15,0,AH75-(G15-AI15)))</f>
        <v/>
      </c>
      <c r="AJ75" s="15" t="str">
        <f aca="false">IF(AJ15="","",IF(AJ71=D15,0,AI75-(G15-AJ15)))</f>
        <v/>
      </c>
      <c r="AK75" s="15" t="str">
        <f aca="false">IF(AK15="","",IF(AK71=D15,0,AJ75-(G15-AK15)))</f>
        <v/>
      </c>
      <c r="AL75" s="15" t="str">
        <f aca="false">IF(AL15="","",IF(AL71=D15,0,AK75-(G15-AL15)))</f>
        <v/>
      </c>
      <c r="AM75" s="15" t="str">
        <f aca="false">IF(AM15="","",IF(AM71=D15,0,AL75-(G15-AM15)))</f>
        <v/>
      </c>
      <c r="AN75" s="15" t="str">
        <f aca="false">IF(AN15="","",IF(AN71=D15,0,AM75-(G15-AN15)))</f>
        <v/>
      </c>
      <c r="AO75" s="15" t="str">
        <f aca="false">IF(AO15="","",IF(AO71=D15,0,AN75-(G15-AO15)))</f>
        <v/>
      </c>
      <c r="AP75" s="15" t="str">
        <f aca="false">IF(AP15="","",IF(AP71=D15,0,AO75-(G15-AP15)))</f>
        <v/>
      </c>
      <c r="AQ75" s="15" t="str">
        <f aca="false">IF(AQ15="","",IF(AQ71=D15,0,AP75-(G15-AQ15)))</f>
        <v/>
      </c>
      <c r="AR75" s="15" t="str">
        <f aca="false">IF(AR15="","",IF(AR71=D15,0,AQ75-(G15-AR15)))</f>
        <v/>
      </c>
      <c r="AS75" s="15" t="str">
        <f aca="false">IF(AS15="","",IF(AS71=D15,0,AR75-(G15-AS15)))</f>
        <v/>
      </c>
      <c r="AT75" s="15" t="str">
        <f aca="false">IF(AT15="","",IF(AT71=D15,0,AS75-(G15-AT15)))</f>
        <v/>
      </c>
      <c r="AU75" s="15" t="str">
        <f aca="false">IF(AU15="","",IF(AU71=D15,0,AT75-(G15-AU15)))</f>
        <v/>
      </c>
      <c r="AV75" s="15" t="str">
        <f aca="false">IF(AV15="","",IF(AV71=D15,0,AU75-(G15-AV15)))</f>
        <v/>
      </c>
      <c r="AW75" s="15" t="str">
        <f aca="false">IF(AW15="","",IF(AW71=D15,0,AV75-(G15-AW15)))</f>
        <v/>
      </c>
      <c r="AX75" s="15" t="str">
        <f aca="false">IF(AX15="","",IF(AX71=D15,0,AW75-(G15-AX15)))</f>
        <v/>
      </c>
      <c r="AY75" s="15" t="str">
        <f aca="false">IF(AY15="","",IF(AY71=D15,0,AX75-(G15-AY15)))</f>
        <v/>
      </c>
      <c r="AZ75" s="15" t="str">
        <f aca="false">IF(AZ15="","",IF(AZ71=D15,0,AY75-(G15-AZ15)))</f>
        <v/>
      </c>
      <c r="BA75" s="15" t="str">
        <f aca="false">IF(BA15="","",IF(BA71=D15,0,AZ75-(G15-BA15)))</f>
        <v/>
      </c>
      <c r="BB75" s="15" t="str">
        <f aca="false">IF(BB15="","",IF(BB71=D15,0,BA75-(G15-BB15)))</f>
        <v/>
      </c>
      <c r="BC75" s="15" t="str">
        <f aca="false">IF(BC15="","",IF(BC71=D15,0,BB75-(G15-BC15)))</f>
        <v/>
      </c>
      <c r="BD75" s="15" t="str">
        <f aca="false">IF(BD15="","",IF(BD71=D15,0,BC75-(G15-BD15)))</f>
        <v/>
      </c>
      <c r="BE75" s="15" t="str">
        <f aca="false">IF(BE15="","",IF(BE71=D15,0,BD75-(G15-BE15)))</f>
        <v/>
      </c>
      <c r="BF75" s="15" t="str">
        <f aca="false">IF(BF15="","",IF(BF71=D15,0,BE75-(G15-BF15)))</f>
        <v/>
      </c>
      <c r="BG75" s="15" t="str">
        <f aca="false">IF(BG15="","",IF(BG71=D15,0,BF75-(G15-BG15)))</f>
        <v/>
      </c>
      <c r="BH75" s="15" t="str">
        <f aca="false">IF(BH15="","",IF(BH71=D15,0,BG75-(G15-BH15)))</f>
        <v/>
      </c>
      <c r="BI75" s="15" t="str">
        <f aca="false">IF(BI15="","",IF(BI71=D15,0,BH75-(G15-BI15)))</f>
        <v/>
      </c>
      <c r="BJ75" s="15" t="str">
        <f aca="false">IF(BJ15="","",IF(BJ71=D15,0,BI75-(G15-BJ15)))</f>
        <v/>
      </c>
      <c r="BK75" s="15" t="str">
        <f aca="false">IF(BK15="","",IF(BK71=D15,0,BJ75-(G15-BK15)))</f>
        <v/>
      </c>
      <c r="BL75" s="15" t="str">
        <f aca="false">IF(BL15="","",IF(BL71=D15,0,BK75-(G15-BL15)))</f>
        <v/>
      </c>
      <c r="BM75" s="15" t="str">
        <f aca="false">IF(BM15="","",IF(BM71=D15,0,BL75-(G15-BM15)))</f>
        <v/>
      </c>
      <c r="BN75" s="15" t="str">
        <f aca="false">IF(BN15="","",IF(BN71=D15,0,BM75-(G15-BN15)))</f>
        <v/>
      </c>
      <c r="BO75" s="15" t="str">
        <f aca="false">IF(BO15="","",IF(BO71=D15,0,BN75-(G15-BO15)))</f>
        <v/>
      </c>
      <c r="BP75" s="15" t="str">
        <f aca="false">IF(BP15="","",IF(BP71=D15,0,BO75-(G15-BP15)))</f>
        <v/>
      </c>
    </row>
    <row r="76" customFormat="false" ht="15" hidden="false" customHeight="false" outlineLevel="0" collapsed="false">
      <c r="A76" s="29" t="str">
        <f aca="false">A16</f>
        <v/>
      </c>
      <c r="B76" s="29" t="str">
        <f aca="false">B16</f>
        <v/>
      </c>
      <c r="C76" s="29" t="str">
        <f aca="false">C16</f>
        <v/>
      </c>
      <c r="D76" s="16" t="str">
        <f aca="false">D16</f>
        <v/>
      </c>
      <c r="E76" s="17" t="str">
        <f aca="false">E16</f>
        <v/>
      </c>
      <c r="F76" s="15" t="str">
        <f aca="false">F16</f>
        <v/>
      </c>
      <c r="G76" s="15" t="str">
        <f aca="false">G16</f>
        <v/>
      </c>
      <c r="I76" s="15" t="str">
        <f aca="false">IF(I16="","",IF(I71=D16,0,F16-(G16-I16)))</f>
        <v/>
      </c>
      <c r="J76" s="15" t="str">
        <f aca="false">IF(J16="","",IF(J71=D16,0,I76-(G16-J16)))</f>
        <v/>
      </c>
      <c r="K76" s="15" t="str">
        <f aca="false">IF(K16="","",IF(K71=D16,0,J76-(G16-K16)))</f>
        <v/>
      </c>
      <c r="L76" s="15" t="str">
        <f aca="false">IF(L16="","",IF(L71=D16,0,K76-(G16-L16)))</f>
        <v/>
      </c>
      <c r="M76" s="15" t="str">
        <f aca="false">IF(M16="","",IF(M71=D16,0,L76-(G16-M16)))</f>
        <v/>
      </c>
      <c r="N76" s="15" t="str">
        <f aca="false">IF(N16="","",IF(N71=D16,0,M76-(G16-N16)))</f>
        <v/>
      </c>
      <c r="O76" s="15" t="str">
        <f aca="false">IF(O16="","",IF(O71=D16,0,N76-(G16-O16)))</f>
        <v/>
      </c>
      <c r="P76" s="15" t="str">
        <f aca="false">IF(P16="","",IF(P71=D16,0,O76-(G16-P16)))</f>
        <v/>
      </c>
      <c r="Q76" s="15" t="str">
        <f aca="false">IF(Q16="","",IF(Q71=D16,0,P76-(G16-Q16)))</f>
        <v/>
      </c>
      <c r="R76" s="15" t="str">
        <f aca="false">IF(R16="","",IF(R71=D16,0,Q76-(G16-R16)))</f>
        <v/>
      </c>
      <c r="S76" s="15" t="str">
        <f aca="false">IF(S16="","",IF(S71=D16,0,R76-(G16-S16)))</f>
        <v/>
      </c>
      <c r="T76" s="15" t="str">
        <f aca="false">IF(T16="","",IF(T71=D16,0,S76-(G16-T16)))</f>
        <v/>
      </c>
      <c r="U76" s="15" t="str">
        <f aca="false">IF(U16="","",IF(U71=D16,0,T76-(G16-U16)))</f>
        <v/>
      </c>
      <c r="V76" s="15" t="str">
        <f aca="false">IF(V16="","",IF(V71=D16,0,U76-(G16-V16)))</f>
        <v/>
      </c>
      <c r="W76" s="15" t="str">
        <f aca="false">IF(W16="","",IF(W71=D16,0,V76-(G16-W16)))</f>
        <v/>
      </c>
      <c r="X76" s="15" t="str">
        <f aca="false">IF(X16="","",IF(X71=D16,0,W76-(G16-X16)))</f>
        <v/>
      </c>
      <c r="Y76" s="15" t="str">
        <f aca="false">IF(Y16="","",IF(Y71=D16,0,X76-(G16-Y16)))</f>
        <v/>
      </c>
      <c r="Z76" s="15" t="str">
        <f aca="false">IF(Z16="","",IF(Z71=D16,0,Y76-(G16-Z16)))</f>
        <v/>
      </c>
      <c r="AA76" s="15" t="str">
        <f aca="false">IF(AA16="","",IF(AA71=D16,0,Z76-(G16-AA16)))</f>
        <v/>
      </c>
      <c r="AB76" s="15" t="str">
        <f aca="false">IF(AB16="","",IF(AB71=D16,0,AA76-(G16-AB16)))</f>
        <v/>
      </c>
      <c r="AC76" s="15" t="str">
        <f aca="false">IF(AC16="","",IF(AC71=D16,0,AB76-(G16-AC16)))</f>
        <v/>
      </c>
      <c r="AD76" s="15" t="str">
        <f aca="false">IF(AD16="","",IF(AD71=D16,0,AC76-(G16-AD16)))</f>
        <v/>
      </c>
      <c r="AE76" s="15" t="str">
        <f aca="false">IF(AE16="","",IF(AE71=D16,0,AD76-(G16-AE16)))</f>
        <v/>
      </c>
      <c r="AF76" s="15" t="str">
        <f aca="false">IF(AF16="","",IF(AF71=D16,0,AE76-(G16-AF16)))</f>
        <v/>
      </c>
      <c r="AG76" s="15" t="str">
        <f aca="false">IF(AG16="","",IF(AG71=D16,0,AF76-(G16-AG16)))</f>
        <v/>
      </c>
      <c r="AH76" s="15" t="str">
        <f aca="false">IF(AH16="","",IF(AH71=D16,0,AG76-(G16-AH16)))</f>
        <v/>
      </c>
      <c r="AI76" s="15" t="str">
        <f aca="false">IF(AI16="","",IF(AI71=D16,0,AH76-(G16-AI16)))</f>
        <v/>
      </c>
      <c r="AJ76" s="15" t="str">
        <f aca="false">IF(AJ16="","",IF(AJ71=D16,0,AI76-(G16-AJ16)))</f>
        <v/>
      </c>
      <c r="AK76" s="15" t="str">
        <f aca="false">IF(AK16="","",IF(AK71=D16,0,AJ76-(G16-AK16)))</f>
        <v/>
      </c>
      <c r="AL76" s="15" t="str">
        <f aca="false">IF(AL16="","",IF(AL71=D16,0,AK76-(G16-AL16)))</f>
        <v/>
      </c>
      <c r="AM76" s="15" t="str">
        <f aca="false">IF(AM16="","",IF(AM71=D16,0,AL76-(G16-AM16)))</f>
        <v/>
      </c>
      <c r="AN76" s="15" t="str">
        <f aca="false">IF(AN16="","",IF(AN71=D16,0,AM76-(G16-AN16)))</f>
        <v/>
      </c>
      <c r="AO76" s="15" t="str">
        <f aca="false">IF(AO16="","",IF(AO71=D16,0,AN76-(G16-AO16)))</f>
        <v/>
      </c>
      <c r="AP76" s="15" t="str">
        <f aca="false">IF(AP16="","",IF(AP71=D16,0,AO76-(G16-AP16)))</f>
        <v/>
      </c>
      <c r="AQ76" s="15" t="str">
        <f aca="false">IF(AQ16="","",IF(AQ71=D16,0,AP76-(G16-AQ16)))</f>
        <v/>
      </c>
      <c r="AR76" s="15" t="str">
        <f aca="false">IF(AR16="","",IF(AR71=D16,0,AQ76-(G16-AR16)))</f>
        <v/>
      </c>
      <c r="AS76" s="15" t="str">
        <f aca="false">IF(AS16="","",IF(AS71=D16,0,AR76-(G16-AS16)))</f>
        <v/>
      </c>
      <c r="AT76" s="15" t="str">
        <f aca="false">IF(AT16="","",IF(AT71=D16,0,AS76-(G16-AT16)))</f>
        <v/>
      </c>
      <c r="AU76" s="15" t="str">
        <f aca="false">IF(AU16="","",IF(AU71=D16,0,AT76-(G16-AU16)))</f>
        <v/>
      </c>
      <c r="AV76" s="15" t="str">
        <f aca="false">IF(AV16="","",IF(AV71=D16,0,AU76-(G16-AV16)))</f>
        <v/>
      </c>
      <c r="AW76" s="15" t="str">
        <f aca="false">IF(AW16="","",IF(AW71=D16,0,AV76-(G16-AW16)))</f>
        <v/>
      </c>
      <c r="AX76" s="15" t="str">
        <f aca="false">IF(AX16="","",IF(AX71=D16,0,AW76-(G16-AX16)))</f>
        <v/>
      </c>
      <c r="AY76" s="15" t="str">
        <f aca="false">IF(AY16="","",IF(AY71=D16,0,AX76-(G16-AY16)))</f>
        <v/>
      </c>
      <c r="AZ76" s="15" t="str">
        <f aca="false">IF(AZ16="","",IF(AZ71=D16,0,AY76-(G16-AZ16)))</f>
        <v/>
      </c>
      <c r="BA76" s="15" t="str">
        <f aca="false">IF(BA16="","",IF(BA71=D16,0,AZ76-(G16-BA16)))</f>
        <v/>
      </c>
      <c r="BB76" s="15" t="str">
        <f aca="false">IF(BB16="","",IF(BB71=D16,0,BA76-(G16-BB16)))</f>
        <v/>
      </c>
      <c r="BC76" s="15" t="str">
        <f aca="false">IF(BC16="","",IF(BC71=D16,0,BB76-(G16-BC16)))</f>
        <v/>
      </c>
      <c r="BD76" s="15" t="str">
        <f aca="false">IF(BD16="","",IF(BD71=D16,0,BC76-(G16-BD16)))</f>
        <v/>
      </c>
      <c r="BE76" s="15" t="str">
        <f aca="false">IF(BE16="","",IF(BE71=D16,0,BD76-(G16-BE16)))</f>
        <v/>
      </c>
      <c r="BF76" s="15" t="str">
        <f aca="false">IF(BF16="","",IF(BF71=D16,0,BE76-(G16-BF16)))</f>
        <v/>
      </c>
      <c r="BG76" s="15" t="str">
        <f aca="false">IF(BG16="","",IF(BG71=D16,0,BF76-(G16-BG16)))</f>
        <v/>
      </c>
      <c r="BH76" s="15" t="str">
        <f aca="false">IF(BH16="","",IF(BH71=D16,0,BG76-(G16-BH16)))</f>
        <v/>
      </c>
      <c r="BI76" s="15" t="str">
        <f aca="false">IF(BI16="","",IF(BI71=D16,0,BH76-(G16-BI16)))</f>
        <v/>
      </c>
      <c r="BJ76" s="15" t="str">
        <f aca="false">IF(BJ16="","",IF(BJ71=D16,0,BI76-(G16-BJ16)))</f>
        <v/>
      </c>
      <c r="BK76" s="15" t="str">
        <f aca="false">IF(BK16="","",IF(BK71=D16,0,BJ76-(G16-BK16)))</f>
        <v/>
      </c>
      <c r="BL76" s="15" t="str">
        <f aca="false">IF(BL16="","",IF(BL71=D16,0,BK76-(G16-BL16)))</f>
        <v/>
      </c>
      <c r="BM76" s="15" t="str">
        <f aca="false">IF(BM16="","",IF(BM71=D16,0,BL76-(G16-BM16)))</f>
        <v/>
      </c>
      <c r="BN76" s="15" t="str">
        <f aca="false">IF(BN16="","",IF(BN71=D16,0,BM76-(G16-BN16)))</f>
        <v/>
      </c>
      <c r="BO76" s="15" t="str">
        <f aca="false">IF(BO16="","",IF(BO71=D16,0,BN76-(G16-BO16)))</f>
        <v/>
      </c>
      <c r="BP76" s="15" t="str">
        <f aca="false">IF(BP16="","",IF(BP71=D16,0,BO76-(G16-BP16)))</f>
        <v/>
      </c>
    </row>
    <row r="77" customFormat="false" ht="15" hidden="false" customHeight="false" outlineLevel="0" collapsed="false">
      <c r="A77" s="29" t="str">
        <f aca="false">A17</f>
        <v/>
      </c>
      <c r="B77" s="29" t="str">
        <f aca="false">B17</f>
        <v/>
      </c>
      <c r="C77" s="29" t="str">
        <f aca="false">C17</f>
        <v/>
      </c>
      <c r="D77" s="16" t="str">
        <f aca="false">D17</f>
        <v/>
      </c>
      <c r="E77" s="17" t="str">
        <f aca="false">E17</f>
        <v/>
      </c>
      <c r="F77" s="15" t="str">
        <f aca="false">F17</f>
        <v/>
      </c>
      <c r="G77" s="15" t="str">
        <f aca="false">G17</f>
        <v/>
      </c>
      <c r="I77" s="15" t="str">
        <f aca="false">IF(I17="","",IF(I71=D17,0,F17-(G17-I17)))</f>
        <v/>
      </c>
      <c r="J77" s="15" t="str">
        <f aca="false">IF(J17="","",IF(J71=D17,0,I77-(G17-J17)))</f>
        <v/>
      </c>
      <c r="K77" s="15" t="str">
        <f aca="false">IF(K17="","",IF(K71=D17,0,J77-(G17-K17)))</f>
        <v/>
      </c>
      <c r="L77" s="15" t="str">
        <f aca="false">IF(L17="","",IF(L71=D17,0,K77-(G17-L17)))</f>
        <v/>
      </c>
      <c r="M77" s="15" t="str">
        <f aca="false">IF(M17="","",IF(M71=D17,0,L77-(G17-M17)))</f>
        <v/>
      </c>
      <c r="N77" s="15" t="str">
        <f aca="false">IF(N17="","",IF(N71=D17,0,M77-(G17-N17)))</f>
        <v/>
      </c>
      <c r="O77" s="15" t="str">
        <f aca="false">IF(O17="","",IF(O71=D17,0,N77-(G17-O17)))</f>
        <v/>
      </c>
      <c r="P77" s="15" t="str">
        <f aca="false">IF(P17="","",IF(P71=D17,0,O77-(G17-P17)))</f>
        <v/>
      </c>
      <c r="Q77" s="15" t="str">
        <f aca="false">IF(Q17="","",IF(Q71=D17,0,P77-(G17-Q17)))</f>
        <v/>
      </c>
      <c r="R77" s="15" t="str">
        <f aca="false">IF(R17="","",IF(R71=D17,0,Q77-(G17-R17)))</f>
        <v/>
      </c>
      <c r="S77" s="15" t="str">
        <f aca="false">IF(S17="","",IF(S71=D17,0,R77-(G17-S17)))</f>
        <v/>
      </c>
      <c r="T77" s="15" t="str">
        <f aca="false">IF(T17="","",IF(T71=D17,0,S77-(G17-T17)))</f>
        <v/>
      </c>
      <c r="U77" s="15" t="str">
        <f aca="false">IF(U17="","",IF(U71=D17,0,T77-(G17-U17)))</f>
        <v/>
      </c>
      <c r="V77" s="15" t="str">
        <f aca="false">IF(V17="","",IF(V71=D17,0,U77-(G17-V17)))</f>
        <v/>
      </c>
      <c r="W77" s="15" t="str">
        <f aca="false">IF(W17="","",IF(W71=D17,0,V77-(G17-W17)))</f>
        <v/>
      </c>
      <c r="X77" s="15" t="str">
        <f aca="false">IF(X17="","",IF(X71=D17,0,W77-(G17-X17)))</f>
        <v/>
      </c>
      <c r="Y77" s="15" t="str">
        <f aca="false">IF(Y17="","",IF(Y71=D17,0,X77-(G17-Y17)))</f>
        <v/>
      </c>
      <c r="Z77" s="15" t="str">
        <f aca="false">IF(Z17="","",IF(Z71=D17,0,Y77-(G17-Z17)))</f>
        <v/>
      </c>
      <c r="AA77" s="15" t="str">
        <f aca="false">IF(AA17="","",IF(AA71=D17,0,Z77-(G17-AA17)))</f>
        <v/>
      </c>
      <c r="AB77" s="15" t="str">
        <f aca="false">IF(AB17="","",IF(AB71=D17,0,AA77-(G17-AB17)))</f>
        <v/>
      </c>
      <c r="AC77" s="15" t="str">
        <f aca="false">IF(AC17="","",IF(AC71=D17,0,AB77-(G17-AC17)))</f>
        <v/>
      </c>
      <c r="AD77" s="15" t="str">
        <f aca="false">IF(AD17="","",IF(AD71=D17,0,AC77-(G17-AD17)))</f>
        <v/>
      </c>
      <c r="AE77" s="15" t="str">
        <f aca="false">IF(AE17="","",IF(AE71=D17,0,AD77-(G17-AE17)))</f>
        <v/>
      </c>
      <c r="AF77" s="15" t="str">
        <f aca="false">IF(AF17="","",IF(AF71=D17,0,AE77-(G17-AF17)))</f>
        <v/>
      </c>
      <c r="AG77" s="15" t="str">
        <f aca="false">IF(AG17="","",IF(AG71=D17,0,AF77-(G17-AG17)))</f>
        <v/>
      </c>
      <c r="AH77" s="15" t="str">
        <f aca="false">IF(AH17="","",IF(AH71=D17,0,AG77-(G17-AH17)))</f>
        <v/>
      </c>
      <c r="AI77" s="15" t="str">
        <f aca="false">IF(AI17="","",IF(AI71=D17,0,AH77-(G17-AI17)))</f>
        <v/>
      </c>
      <c r="AJ77" s="15" t="str">
        <f aca="false">IF(AJ17="","",IF(AJ71=D17,0,AI77-(G17-AJ17)))</f>
        <v/>
      </c>
      <c r="AK77" s="15" t="str">
        <f aca="false">IF(AK17="","",IF(AK71=D17,0,AJ77-(G17-AK17)))</f>
        <v/>
      </c>
      <c r="AL77" s="15" t="str">
        <f aca="false">IF(AL17="","",IF(AL71=D17,0,AK77-(G17-AL17)))</f>
        <v/>
      </c>
      <c r="AM77" s="15" t="str">
        <f aca="false">IF(AM17="","",IF(AM71=D17,0,AL77-(G17-AM17)))</f>
        <v/>
      </c>
      <c r="AN77" s="15" t="str">
        <f aca="false">IF(AN17="","",IF(AN71=D17,0,AM77-(G17-AN17)))</f>
        <v/>
      </c>
      <c r="AO77" s="15" t="str">
        <f aca="false">IF(AO17="","",IF(AO71=D17,0,AN77-(G17-AO17)))</f>
        <v/>
      </c>
      <c r="AP77" s="15" t="str">
        <f aca="false">IF(AP17="","",IF(AP71=D17,0,AO77-(G17-AP17)))</f>
        <v/>
      </c>
      <c r="AQ77" s="15" t="str">
        <f aca="false">IF(AQ17="","",IF(AQ71=D17,0,AP77-(G17-AQ17)))</f>
        <v/>
      </c>
      <c r="AR77" s="15" t="str">
        <f aca="false">IF(AR17="","",IF(AR71=D17,0,AQ77-(G17-AR17)))</f>
        <v/>
      </c>
      <c r="AS77" s="15" t="str">
        <f aca="false">IF(AS17="","",IF(AS71=D17,0,AR77-(G17-AS17)))</f>
        <v/>
      </c>
      <c r="AT77" s="15" t="str">
        <f aca="false">IF(AT17="","",IF(AT71=D17,0,AS77-(G17-AT17)))</f>
        <v/>
      </c>
      <c r="AU77" s="15" t="str">
        <f aca="false">IF(AU17="","",IF(AU71=D17,0,AT77-(G17-AU17)))</f>
        <v/>
      </c>
      <c r="AV77" s="15" t="str">
        <f aca="false">IF(AV17="","",IF(AV71=D17,0,AU77-(G17-AV17)))</f>
        <v/>
      </c>
      <c r="AW77" s="15" t="str">
        <f aca="false">IF(AW17="","",IF(AW71=D17,0,AV77-(G17-AW17)))</f>
        <v/>
      </c>
      <c r="AX77" s="15" t="str">
        <f aca="false">IF(AX17="","",IF(AX71=D17,0,AW77-(G17-AX17)))</f>
        <v/>
      </c>
      <c r="AY77" s="15" t="str">
        <f aca="false">IF(AY17="","",IF(AY71=D17,0,AX77-(G17-AY17)))</f>
        <v/>
      </c>
      <c r="AZ77" s="15" t="str">
        <f aca="false">IF(AZ17="","",IF(AZ71=D17,0,AY77-(G17-AZ17)))</f>
        <v/>
      </c>
      <c r="BA77" s="15" t="str">
        <f aca="false">IF(BA17="","",IF(BA71=D17,0,AZ77-(G17-BA17)))</f>
        <v/>
      </c>
      <c r="BB77" s="15" t="str">
        <f aca="false">IF(BB17="","",IF(BB71=D17,0,BA77-(G17-BB17)))</f>
        <v/>
      </c>
      <c r="BC77" s="15" t="str">
        <f aca="false">IF(BC17="","",IF(BC71=D17,0,BB77-(G17-BC17)))</f>
        <v/>
      </c>
      <c r="BD77" s="15" t="str">
        <f aca="false">IF(BD17="","",IF(BD71=D17,0,BC77-(G17-BD17)))</f>
        <v/>
      </c>
      <c r="BE77" s="15" t="str">
        <f aca="false">IF(BE17="","",IF(BE71=D17,0,BD77-(G17-BE17)))</f>
        <v/>
      </c>
      <c r="BF77" s="15" t="str">
        <f aca="false">IF(BF17="","",IF(BF71=D17,0,BE77-(G17-BF17)))</f>
        <v/>
      </c>
      <c r="BG77" s="15" t="str">
        <f aca="false">IF(BG17="","",IF(BG71=D17,0,BF77-(G17-BG17)))</f>
        <v/>
      </c>
      <c r="BH77" s="15" t="str">
        <f aca="false">IF(BH17="","",IF(BH71=D17,0,BG77-(G17-BH17)))</f>
        <v/>
      </c>
      <c r="BI77" s="15" t="str">
        <f aca="false">IF(BI17="","",IF(BI71=D17,0,BH77-(G17-BI17)))</f>
        <v/>
      </c>
      <c r="BJ77" s="15" t="str">
        <f aca="false">IF(BJ17="","",IF(BJ71=D17,0,BI77-(G17-BJ17)))</f>
        <v/>
      </c>
      <c r="BK77" s="15" t="str">
        <f aca="false">IF(BK17="","",IF(BK71=D17,0,BJ77-(G17-BK17)))</f>
        <v/>
      </c>
      <c r="BL77" s="15" t="str">
        <f aca="false">IF(BL17="","",IF(BL71=D17,0,BK77-(G17-BL17)))</f>
        <v/>
      </c>
      <c r="BM77" s="15" t="str">
        <f aca="false">IF(BM17="","",IF(BM71=D17,0,BL77-(G17-BM17)))</f>
        <v/>
      </c>
      <c r="BN77" s="15" t="str">
        <f aca="false">IF(BN17="","",IF(BN71=D17,0,BM77-(G17-BN17)))</f>
        <v/>
      </c>
      <c r="BO77" s="15" t="str">
        <f aca="false">IF(BO17="","",IF(BO71=D17,0,BN77-(G17-BO17)))</f>
        <v/>
      </c>
      <c r="BP77" s="15" t="str">
        <f aca="false">IF(BP17="","",IF(BP71=D17,0,BO77-(G17-BP17)))</f>
        <v/>
      </c>
    </row>
    <row r="78" customFormat="false" ht="15" hidden="false" customHeight="false" outlineLevel="0" collapsed="false">
      <c r="A78" s="29" t="str">
        <f aca="false">A18</f>
        <v/>
      </c>
      <c r="B78" s="29" t="str">
        <f aca="false">B18</f>
        <v/>
      </c>
      <c r="C78" s="29" t="str">
        <f aca="false">C18</f>
        <v/>
      </c>
      <c r="D78" s="16" t="str">
        <f aca="false">D18</f>
        <v/>
      </c>
      <c r="E78" s="17" t="str">
        <f aca="false">E18</f>
        <v/>
      </c>
      <c r="F78" s="15" t="str">
        <f aca="false">F18</f>
        <v/>
      </c>
      <c r="G78" s="15" t="str">
        <f aca="false">G18</f>
        <v/>
      </c>
      <c r="I78" s="15" t="str">
        <f aca="false">IF(I18="","",IF(I71=D18,0,F18-(G18-I18)))</f>
        <v/>
      </c>
      <c r="J78" s="15" t="str">
        <f aca="false">IF(J18="","",IF(J71=D18,0,I78-(G18-J18)))</f>
        <v/>
      </c>
      <c r="K78" s="15" t="str">
        <f aca="false">IF(K18="","",IF(K71=D18,0,J78-(G18-K18)))</f>
        <v/>
      </c>
      <c r="L78" s="15" t="str">
        <f aca="false">IF(L18="","",IF(L71=D18,0,K78-(G18-L18)))</f>
        <v/>
      </c>
      <c r="M78" s="15" t="str">
        <f aca="false">IF(M18="","",IF(M71=D18,0,L78-(G18-M18)))</f>
        <v/>
      </c>
      <c r="N78" s="15" t="str">
        <f aca="false">IF(N18="","",IF(N71=D18,0,M78-(G18-N18)))</f>
        <v/>
      </c>
      <c r="O78" s="15" t="str">
        <f aca="false">IF(O18="","",IF(O71=D18,0,N78-(G18-O18)))</f>
        <v/>
      </c>
      <c r="P78" s="15" t="str">
        <f aca="false">IF(P18="","",IF(P71=D18,0,O78-(G18-P18)))</f>
        <v/>
      </c>
      <c r="Q78" s="15" t="str">
        <f aca="false">IF(Q18="","",IF(Q71=D18,0,P78-(G18-Q18)))</f>
        <v/>
      </c>
      <c r="R78" s="15" t="str">
        <f aca="false">IF(R18="","",IF(R71=D18,0,Q78-(G18-R18)))</f>
        <v/>
      </c>
      <c r="S78" s="15" t="str">
        <f aca="false">IF(S18="","",IF(S71=D18,0,R78-(G18-S18)))</f>
        <v/>
      </c>
      <c r="T78" s="15" t="str">
        <f aca="false">IF(T18="","",IF(T71=D18,0,S78-(G18-T18)))</f>
        <v/>
      </c>
      <c r="U78" s="15" t="str">
        <f aca="false">IF(U18="","",IF(U71=D18,0,T78-(G18-U18)))</f>
        <v/>
      </c>
      <c r="V78" s="15" t="str">
        <f aca="false">IF(V18="","",IF(V71=D18,0,U78-(G18-V18)))</f>
        <v/>
      </c>
      <c r="W78" s="15" t="str">
        <f aca="false">IF(W18="","",IF(W71=D18,0,V78-(G18-W18)))</f>
        <v/>
      </c>
      <c r="X78" s="15" t="str">
        <f aca="false">IF(X18="","",IF(X71=D18,0,W78-(G18-X18)))</f>
        <v/>
      </c>
      <c r="Y78" s="15" t="str">
        <f aca="false">IF(Y18="","",IF(Y71=D18,0,X78-(G18-Y18)))</f>
        <v/>
      </c>
      <c r="Z78" s="15" t="str">
        <f aca="false">IF(Z18="","",IF(Z71=D18,0,Y78-(G18-Z18)))</f>
        <v/>
      </c>
      <c r="AA78" s="15" t="str">
        <f aca="false">IF(AA18="","",IF(AA71=D18,0,Z78-(G18-AA18)))</f>
        <v/>
      </c>
      <c r="AB78" s="15" t="str">
        <f aca="false">IF(AB18="","",IF(AB71=D18,0,AA78-(G18-AB18)))</f>
        <v/>
      </c>
      <c r="AC78" s="15" t="str">
        <f aca="false">IF(AC18="","",IF(AC71=D18,0,AB78-(G18-AC18)))</f>
        <v/>
      </c>
      <c r="AD78" s="15" t="str">
        <f aca="false">IF(AD18="","",IF(AD71=D18,0,AC78-(G18-AD18)))</f>
        <v/>
      </c>
      <c r="AE78" s="15" t="str">
        <f aca="false">IF(AE18="","",IF(AE71=D18,0,AD78-(G18-AE18)))</f>
        <v/>
      </c>
      <c r="AF78" s="15" t="str">
        <f aca="false">IF(AF18="","",IF(AF71=D18,0,AE78-(G18-AF18)))</f>
        <v/>
      </c>
      <c r="AG78" s="15" t="str">
        <f aca="false">IF(AG18="","",IF(AG71=D18,0,AF78-(G18-AG18)))</f>
        <v/>
      </c>
      <c r="AH78" s="15" t="str">
        <f aca="false">IF(AH18="","",IF(AH71=D18,0,AG78-(G18-AH18)))</f>
        <v/>
      </c>
      <c r="AI78" s="15" t="str">
        <f aca="false">IF(AI18="","",IF(AI71=D18,0,AH78-(G18-AI18)))</f>
        <v/>
      </c>
      <c r="AJ78" s="15" t="str">
        <f aca="false">IF(AJ18="","",IF(AJ71=D18,0,AI78-(G18-AJ18)))</f>
        <v/>
      </c>
      <c r="AK78" s="15" t="str">
        <f aca="false">IF(AK18="","",IF(AK71=D18,0,AJ78-(G18-AK18)))</f>
        <v/>
      </c>
      <c r="AL78" s="15" t="str">
        <f aca="false">IF(AL18="","",IF(AL71=D18,0,AK78-(G18-AL18)))</f>
        <v/>
      </c>
      <c r="AM78" s="15" t="str">
        <f aca="false">IF(AM18="","",IF(AM71=D18,0,AL78-(G18-AM18)))</f>
        <v/>
      </c>
      <c r="AN78" s="15" t="str">
        <f aca="false">IF(AN18="","",IF(AN71=D18,0,AM78-(G18-AN18)))</f>
        <v/>
      </c>
      <c r="AO78" s="15" t="str">
        <f aca="false">IF(AO18="","",IF(AO71=D18,0,AN78-(G18-AO18)))</f>
        <v/>
      </c>
      <c r="AP78" s="15" t="str">
        <f aca="false">IF(AP18="","",IF(AP71=D18,0,AO78-(G18-AP18)))</f>
        <v/>
      </c>
      <c r="AQ78" s="15" t="str">
        <f aca="false">IF(AQ18="","",IF(AQ71=D18,0,AP78-(G18-AQ18)))</f>
        <v/>
      </c>
      <c r="AR78" s="15" t="str">
        <f aca="false">IF(AR18="","",IF(AR71=D18,0,AQ78-(G18-AR18)))</f>
        <v/>
      </c>
      <c r="AS78" s="15" t="str">
        <f aca="false">IF(AS18="","",IF(AS71=D18,0,AR78-(G18-AS18)))</f>
        <v/>
      </c>
      <c r="AT78" s="15" t="str">
        <f aca="false">IF(AT18="","",IF(AT71=D18,0,AS78-(G18-AT18)))</f>
        <v/>
      </c>
      <c r="AU78" s="15" t="str">
        <f aca="false">IF(AU18="","",IF(AU71=D18,0,AT78-(G18-AU18)))</f>
        <v/>
      </c>
      <c r="AV78" s="15" t="str">
        <f aca="false">IF(AV18="","",IF(AV71=D18,0,AU78-(G18-AV18)))</f>
        <v/>
      </c>
      <c r="AW78" s="15" t="str">
        <f aca="false">IF(AW18="","",IF(AW71=D18,0,AV78-(G18-AW18)))</f>
        <v/>
      </c>
      <c r="AX78" s="15" t="str">
        <f aca="false">IF(AX18="","",IF(AX71=D18,0,AW78-(G18-AX18)))</f>
        <v/>
      </c>
      <c r="AY78" s="15" t="str">
        <f aca="false">IF(AY18="","",IF(AY71=D18,0,AX78-(G18-AY18)))</f>
        <v/>
      </c>
      <c r="AZ78" s="15" t="str">
        <f aca="false">IF(AZ18="","",IF(AZ71=D18,0,AY78-(G18-AZ18)))</f>
        <v/>
      </c>
      <c r="BA78" s="15" t="str">
        <f aca="false">IF(BA18="","",IF(BA71=D18,0,AZ78-(G18-BA18)))</f>
        <v/>
      </c>
      <c r="BB78" s="15" t="str">
        <f aca="false">IF(BB18="","",IF(BB71=D18,0,BA78-(G18-BB18)))</f>
        <v/>
      </c>
      <c r="BC78" s="15" t="str">
        <f aca="false">IF(BC18="","",IF(BC71=D18,0,BB78-(G18-BC18)))</f>
        <v/>
      </c>
      <c r="BD78" s="15" t="str">
        <f aca="false">IF(BD18="","",IF(BD71=D18,0,BC78-(G18-BD18)))</f>
        <v/>
      </c>
      <c r="BE78" s="15" t="str">
        <f aca="false">IF(BE18="","",IF(BE71=D18,0,BD78-(G18-BE18)))</f>
        <v/>
      </c>
      <c r="BF78" s="15" t="str">
        <f aca="false">IF(BF18="","",IF(BF71=D18,0,BE78-(G18-BF18)))</f>
        <v/>
      </c>
      <c r="BG78" s="15" t="str">
        <f aca="false">IF(BG18="","",IF(BG71=D18,0,BF78-(G18-BG18)))</f>
        <v/>
      </c>
      <c r="BH78" s="15" t="str">
        <f aca="false">IF(BH18="","",IF(BH71=D18,0,BG78-(G18-BH18)))</f>
        <v/>
      </c>
      <c r="BI78" s="15" t="str">
        <f aca="false">IF(BI18="","",IF(BI71=D18,0,BH78-(G18-BI18)))</f>
        <v/>
      </c>
      <c r="BJ78" s="15" t="str">
        <f aca="false">IF(BJ18="","",IF(BJ71=D18,0,BI78-(G18-BJ18)))</f>
        <v/>
      </c>
      <c r="BK78" s="15" t="str">
        <f aca="false">IF(BK18="","",IF(BK71=D18,0,BJ78-(G18-BK18)))</f>
        <v/>
      </c>
      <c r="BL78" s="15" t="str">
        <f aca="false">IF(BL18="","",IF(BL71=D18,0,BK78-(G18-BL18)))</f>
        <v/>
      </c>
      <c r="BM78" s="15" t="str">
        <f aca="false">IF(BM18="","",IF(BM71=D18,0,BL78-(G18-BM18)))</f>
        <v/>
      </c>
      <c r="BN78" s="15" t="str">
        <f aca="false">IF(BN18="","",IF(BN71=D18,0,BM78-(G18-BN18)))</f>
        <v/>
      </c>
      <c r="BO78" s="15" t="str">
        <f aca="false">IF(BO18="","",IF(BO71=D18,0,BN78-(G18-BO18)))</f>
        <v/>
      </c>
      <c r="BP78" s="15" t="str">
        <f aca="false">IF(BP18="","",IF(BP71=D18,0,BO78-(G18-BP18)))</f>
        <v/>
      </c>
    </row>
    <row r="79" customFormat="false" ht="15" hidden="false" customHeight="false" outlineLevel="0" collapsed="false">
      <c r="A79" s="29" t="str">
        <f aca="false">A19</f>
        <v/>
      </c>
      <c r="B79" s="29" t="str">
        <f aca="false">B19</f>
        <v/>
      </c>
      <c r="C79" s="29" t="str">
        <f aca="false">C19</f>
        <v/>
      </c>
      <c r="D79" s="16" t="str">
        <f aca="false">D19</f>
        <v/>
      </c>
      <c r="E79" s="17" t="str">
        <f aca="false">E19</f>
        <v/>
      </c>
      <c r="F79" s="15" t="str">
        <f aca="false">F19</f>
        <v/>
      </c>
      <c r="G79" s="15" t="str">
        <f aca="false">G19</f>
        <v/>
      </c>
      <c r="I79" s="15" t="str">
        <f aca="false">IF(I19="","",IF(I71=D19,0,F19-(G19-I19)))</f>
        <v/>
      </c>
      <c r="J79" s="15" t="str">
        <f aca="false">IF(J19="","",IF(J71=D19,0,I79-(G19-J19)))</f>
        <v/>
      </c>
      <c r="K79" s="15" t="str">
        <f aca="false">IF(K19="","",IF(K71=D19,0,J79-(G19-K19)))</f>
        <v/>
      </c>
      <c r="L79" s="15" t="str">
        <f aca="false">IF(L19="","",IF(L71=D19,0,K79-(G19-L19)))</f>
        <v/>
      </c>
      <c r="M79" s="15" t="str">
        <f aca="false">IF(M19="","",IF(M71=D19,0,L79-(G19-M19)))</f>
        <v/>
      </c>
      <c r="N79" s="15" t="str">
        <f aca="false">IF(N19="","",IF(N71=D19,0,M79-(G19-N19)))</f>
        <v/>
      </c>
      <c r="O79" s="15" t="str">
        <f aca="false">IF(O19="","",IF(O71=D19,0,N79-(G19-O19)))</f>
        <v/>
      </c>
      <c r="P79" s="15" t="str">
        <f aca="false">IF(P19="","",IF(P71=D19,0,O79-(G19-P19)))</f>
        <v/>
      </c>
      <c r="Q79" s="15" t="str">
        <f aca="false">IF(Q19="","",IF(Q71=D19,0,P79-(G19-Q19)))</f>
        <v/>
      </c>
      <c r="R79" s="15" t="str">
        <f aca="false">IF(R19="","",IF(R71=D19,0,Q79-(G19-R19)))</f>
        <v/>
      </c>
      <c r="S79" s="15" t="str">
        <f aca="false">IF(S19="","",IF(S71=D19,0,R79-(G19-S19)))</f>
        <v/>
      </c>
      <c r="T79" s="15" t="str">
        <f aca="false">IF(T19="","",IF(T71=D19,0,S79-(G19-T19)))</f>
        <v/>
      </c>
      <c r="U79" s="15" t="str">
        <f aca="false">IF(U19="","",IF(U71=D19,0,T79-(G19-U19)))</f>
        <v/>
      </c>
      <c r="V79" s="15" t="str">
        <f aca="false">IF(V19="","",IF(V71=D19,0,U79-(G19-V19)))</f>
        <v/>
      </c>
      <c r="W79" s="15" t="str">
        <f aca="false">IF(W19="","",IF(W71=D19,0,V79-(G19-W19)))</f>
        <v/>
      </c>
      <c r="X79" s="15" t="str">
        <f aca="false">IF(X19="","",IF(X71=D19,0,W79-(G19-X19)))</f>
        <v/>
      </c>
      <c r="Y79" s="15" t="str">
        <f aca="false">IF(Y19="","",IF(Y71=D19,0,X79-(G19-Y19)))</f>
        <v/>
      </c>
      <c r="Z79" s="15" t="str">
        <f aca="false">IF(Z19="","",IF(Z71=D19,0,Y79-(G19-Z19)))</f>
        <v/>
      </c>
      <c r="AA79" s="15" t="str">
        <f aca="false">IF(AA19="","",IF(AA71=D19,0,Z79-(G19-AA19)))</f>
        <v/>
      </c>
      <c r="AB79" s="15" t="str">
        <f aca="false">IF(AB19="","",IF(AB71=D19,0,AA79-(G19-AB19)))</f>
        <v/>
      </c>
      <c r="AC79" s="15" t="str">
        <f aca="false">IF(AC19="","",IF(AC71=D19,0,AB79-(G19-AC19)))</f>
        <v/>
      </c>
      <c r="AD79" s="15" t="str">
        <f aca="false">IF(AD19="","",IF(AD71=D19,0,AC79-(G19-AD19)))</f>
        <v/>
      </c>
      <c r="AE79" s="15" t="str">
        <f aca="false">IF(AE19="","",IF(AE71=D19,0,AD79-(G19-AE19)))</f>
        <v/>
      </c>
      <c r="AF79" s="15" t="str">
        <f aca="false">IF(AF19="","",IF(AF71=D19,0,AE79-(G19-AF19)))</f>
        <v/>
      </c>
      <c r="AG79" s="15" t="str">
        <f aca="false">IF(AG19="","",IF(AG71=D19,0,AF79-(G19-AG19)))</f>
        <v/>
      </c>
      <c r="AH79" s="15" t="str">
        <f aca="false">IF(AH19="","",IF(AH71=D19,0,AG79-(G19-AH19)))</f>
        <v/>
      </c>
      <c r="AI79" s="15" t="str">
        <f aca="false">IF(AI19="","",IF(AI71=D19,0,AH79-(G19-AI19)))</f>
        <v/>
      </c>
      <c r="AJ79" s="15" t="str">
        <f aca="false">IF(AJ19="","",IF(AJ71=D19,0,AI79-(G19-AJ19)))</f>
        <v/>
      </c>
      <c r="AK79" s="15" t="str">
        <f aca="false">IF(AK19="","",IF(AK71=D19,0,AJ79-(G19-AK19)))</f>
        <v/>
      </c>
      <c r="AL79" s="15" t="str">
        <f aca="false">IF(AL19="","",IF(AL71=D19,0,AK79-(G19-AL19)))</f>
        <v/>
      </c>
      <c r="AM79" s="15" t="str">
        <f aca="false">IF(AM19="","",IF(AM71=D19,0,AL79-(G19-AM19)))</f>
        <v/>
      </c>
      <c r="AN79" s="15" t="str">
        <f aca="false">IF(AN19="","",IF(AN71=D19,0,AM79-(G19-AN19)))</f>
        <v/>
      </c>
      <c r="AO79" s="15" t="str">
        <f aca="false">IF(AO19="","",IF(AO71=D19,0,AN79-(G19-AO19)))</f>
        <v/>
      </c>
      <c r="AP79" s="15" t="str">
        <f aca="false">IF(AP19="","",IF(AP71=D19,0,AO79-(G19-AP19)))</f>
        <v/>
      </c>
      <c r="AQ79" s="15" t="str">
        <f aca="false">IF(AQ19="","",IF(AQ71=D19,0,AP79-(G19-AQ19)))</f>
        <v/>
      </c>
      <c r="AR79" s="15" t="str">
        <f aca="false">IF(AR19="","",IF(AR71=D19,0,AQ79-(G19-AR19)))</f>
        <v/>
      </c>
      <c r="AS79" s="15" t="str">
        <f aca="false">IF(AS19="","",IF(AS71=D19,0,AR79-(G19-AS19)))</f>
        <v/>
      </c>
      <c r="AT79" s="15" t="str">
        <f aca="false">IF(AT19="","",IF(AT71=D19,0,AS79-(G19-AT19)))</f>
        <v/>
      </c>
      <c r="AU79" s="15" t="str">
        <f aca="false">IF(AU19="","",IF(AU71=D19,0,AT79-(G19-AU19)))</f>
        <v/>
      </c>
      <c r="AV79" s="15" t="str">
        <f aca="false">IF(AV19="","",IF(AV71=D19,0,AU79-(G19-AV19)))</f>
        <v/>
      </c>
      <c r="AW79" s="15" t="str">
        <f aca="false">IF(AW19="","",IF(AW71=D19,0,AV79-(G19-AW19)))</f>
        <v/>
      </c>
      <c r="AX79" s="15" t="str">
        <f aca="false">IF(AX19="","",IF(AX71=D19,0,AW79-(G19-AX19)))</f>
        <v/>
      </c>
      <c r="AY79" s="15" t="str">
        <f aca="false">IF(AY19="","",IF(AY71=D19,0,AX79-(G19-AY19)))</f>
        <v/>
      </c>
      <c r="AZ79" s="15" t="str">
        <f aca="false">IF(AZ19="","",IF(AZ71=D19,0,AY79-(G19-AZ19)))</f>
        <v/>
      </c>
      <c r="BA79" s="15" t="str">
        <f aca="false">IF(BA19="","",IF(BA71=D19,0,AZ79-(G19-BA19)))</f>
        <v/>
      </c>
      <c r="BB79" s="15" t="str">
        <f aca="false">IF(BB19="","",IF(BB71=D19,0,BA79-(G19-BB19)))</f>
        <v/>
      </c>
      <c r="BC79" s="15" t="str">
        <f aca="false">IF(BC19="","",IF(BC71=D19,0,BB79-(G19-BC19)))</f>
        <v/>
      </c>
      <c r="BD79" s="15" t="str">
        <f aca="false">IF(BD19="","",IF(BD71=D19,0,BC79-(G19-BD19)))</f>
        <v/>
      </c>
      <c r="BE79" s="15" t="str">
        <f aca="false">IF(BE19="","",IF(BE71=D19,0,BD79-(G19-BE19)))</f>
        <v/>
      </c>
      <c r="BF79" s="15" t="str">
        <f aca="false">IF(BF19="","",IF(BF71=D19,0,BE79-(G19-BF19)))</f>
        <v/>
      </c>
      <c r="BG79" s="15" t="str">
        <f aca="false">IF(BG19="","",IF(BG71=D19,0,BF79-(G19-BG19)))</f>
        <v/>
      </c>
      <c r="BH79" s="15" t="str">
        <f aca="false">IF(BH19="","",IF(BH71=D19,0,BG79-(G19-BH19)))</f>
        <v/>
      </c>
      <c r="BI79" s="15" t="str">
        <f aca="false">IF(BI19="","",IF(BI71=D19,0,BH79-(G19-BI19)))</f>
        <v/>
      </c>
      <c r="BJ79" s="15" t="str">
        <f aca="false">IF(BJ19="","",IF(BJ71=D19,0,BI79-(G19-BJ19)))</f>
        <v/>
      </c>
      <c r="BK79" s="15" t="str">
        <f aca="false">IF(BK19="","",IF(BK71=D19,0,BJ79-(G19-BK19)))</f>
        <v/>
      </c>
      <c r="BL79" s="15" t="str">
        <f aca="false">IF(BL19="","",IF(BL71=D19,0,BK79-(G19-BL19)))</f>
        <v/>
      </c>
      <c r="BM79" s="15" t="str">
        <f aca="false">IF(BM19="","",IF(BM71=D19,0,BL79-(G19-BM19)))</f>
        <v/>
      </c>
      <c r="BN79" s="15" t="str">
        <f aca="false">IF(BN19="","",IF(BN71=D19,0,BM79-(G19-BN19)))</f>
        <v/>
      </c>
      <c r="BO79" s="15" t="str">
        <f aca="false">IF(BO19="","",IF(BO71=D19,0,BN79-(G19-BO19)))</f>
        <v/>
      </c>
      <c r="BP79" s="15" t="str">
        <f aca="false">IF(BP19="","",IF(BP71=D19,0,BO79-(G19-BP19)))</f>
        <v/>
      </c>
    </row>
    <row r="80" customFormat="false" ht="15" hidden="false" customHeight="false" outlineLevel="0" collapsed="false">
      <c r="A80" s="29" t="str">
        <f aca="false">A20</f>
        <v/>
      </c>
      <c r="B80" s="29" t="str">
        <f aca="false">B20</f>
        <v/>
      </c>
      <c r="C80" s="29" t="str">
        <f aca="false">C20</f>
        <v/>
      </c>
      <c r="D80" s="16" t="str">
        <f aca="false">D20</f>
        <v/>
      </c>
      <c r="E80" s="17" t="str">
        <f aca="false">E20</f>
        <v/>
      </c>
      <c r="F80" s="15" t="str">
        <f aca="false">F20</f>
        <v/>
      </c>
      <c r="G80" s="15" t="str">
        <f aca="false">G20</f>
        <v/>
      </c>
      <c r="I80" s="15" t="str">
        <f aca="false">IF(I20="","",IF(I71=D20,0,F20-(G20-I20)))</f>
        <v/>
      </c>
      <c r="J80" s="15" t="str">
        <f aca="false">IF(J20="","",IF(J71=D20,0,I80-(G20-J20)))</f>
        <v/>
      </c>
      <c r="K80" s="15" t="str">
        <f aca="false">IF(K20="","",IF(K71=D20,0,J80-(G20-K20)))</f>
        <v/>
      </c>
      <c r="L80" s="15" t="str">
        <f aca="false">IF(L20="","",IF(L71=D20,0,K80-(G20-L20)))</f>
        <v/>
      </c>
      <c r="M80" s="15" t="str">
        <f aca="false">IF(M20="","",IF(M71=D20,0,L80-(G20-M20)))</f>
        <v/>
      </c>
      <c r="N80" s="15" t="str">
        <f aca="false">IF(N20="","",IF(N71=D20,0,M80-(G20-N20)))</f>
        <v/>
      </c>
      <c r="O80" s="15" t="str">
        <f aca="false">IF(O20="","",IF(O71=D20,0,N80-(G20-O20)))</f>
        <v/>
      </c>
      <c r="P80" s="15" t="str">
        <f aca="false">IF(P20="","",IF(P71=D20,0,O80-(G20-P20)))</f>
        <v/>
      </c>
      <c r="Q80" s="15" t="str">
        <f aca="false">IF(Q20="","",IF(Q71=D20,0,P80-(G20-Q20)))</f>
        <v/>
      </c>
      <c r="R80" s="15" t="str">
        <f aca="false">IF(R20="","",IF(R71=D20,0,Q80-(G20-R20)))</f>
        <v/>
      </c>
      <c r="S80" s="15" t="str">
        <f aca="false">IF(S20="","",IF(S71=D20,0,R80-(G20-S20)))</f>
        <v/>
      </c>
      <c r="T80" s="15" t="str">
        <f aca="false">IF(T20="","",IF(T71=D20,0,S80-(G20-T20)))</f>
        <v/>
      </c>
      <c r="U80" s="15" t="str">
        <f aca="false">IF(U20="","",IF(U71=D20,0,T80-(G20-U20)))</f>
        <v/>
      </c>
      <c r="V80" s="15" t="str">
        <f aca="false">IF(V20="","",IF(V71=D20,0,U80-(G20-V20)))</f>
        <v/>
      </c>
      <c r="W80" s="15" t="str">
        <f aca="false">IF(W20="","",IF(W71=D20,0,V80-(G20-W20)))</f>
        <v/>
      </c>
      <c r="X80" s="15" t="str">
        <f aca="false">IF(X20="","",IF(X71=D20,0,W80-(G20-X20)))</f>
        <v/>
      </c>
      <c r="Y80" s="15" t="str">
        <f aca="false">IF(Y20="","",IF(Y71=D20,0,X80-(G20-Y20)))</f>
        <v/>
      </c>
      <c r="Z80" s="15" t="str">
        <f aca="false">IF(Z20="","",IF(Z71=D20,0,Y80-(G20-Z20)))</f>
        <v/>
      </c>
      <c r="AA80" s="15" t="str">
        <f aca="false">IF(AA20="","",IF(AA71=D20,0,Z80-(G20-AA20)))</f>
        <v/>
      </c>
      <c r="AB80" s="15" t="str">
        <f aca="false">IF(AB20="","",IF(AB71=D20,0,AA80-(G20-AB20)))</f>
        <v/>
      </c>
      <c r="AC80" s="15" t="str">
        <f aca="false">IF(AC20="","",IF(AC71=D20,0,AB80-(G20-AC20)))</f>
        <v/>
      </c>
      <c r="AD80" s="15" t="str">
        <f aca="false">IF(AD20="","",IF(AD71=D20,0,AC80-(G20-AD20)))</f>
        <v/>
      </c>
      <c r="AE80" s="15" t="str">
        <f aca="false">IF(AE20="","",IF(AE71=D20,0,AD80-(G20-AE20)))</f>
        <v/>
      </c>
      <c r="AF80" s="15" t="str">
        <f aca="false">IF(AF20="","",IF(AF71=D20,0,AE80-(G20-AF20)))</f>
        <v/>
      </c>
      <c r="AG80" s="15" t="str">
        <f aca="false">IF(AG20="","",IF(AG71=D20,0,AF80-(G20-AG20)))</f>
        <v/>
      </c>
      <c r="AH80" s="15" t="str">
        <f aca="false">IF(AH20="","",IF(AH71=D20,0,AG80-(G20-AH20)))</f>
        <v/>
      </c>
      <c r="AI80" s="15" t="str">
        <f aca="false">IF(AI20="","",IF(AI71=D20,0,AH80-(G20-AI20)))</f>
        <v/>
      </c>
      <c r="AJ80" s="15" t="str">
        <f aca="false">IF(AJ20="","",IF(AJ71=D20,0,AI80-(G20-AJ20)))</f>
        <v/>
      </c>
      <c r="AK80" s="15" t="str">
        <f aca="false">IF(AK20="","",IF(AK71=D20,0,AJ80-(G20-AK20)))</f>
        <v/>
      </c>
      <c r="AL80" s="15" t="str">
        <f aca="false">IF(AL20="","",IF(AL71=D20,0,AK80-(G20-AL20)))</f>
        <v/>
      </c>
      <c r="AM80" s="15" t="str">
        <f aca="false">IF(AM20="","",IF(AM71=D20,0,AL80-(G20-AM20)))</f>
        <v/>
      </c>
      <c r="AN80" s="15" t="str">
        <f aca="false">IF(AN20="","",IF(AN71=D20,0,AM80-(G20-AN20)))</f>
        <v/>
      </c>
      <c r="AO80" s="15" t="str">
        <f aca="false">IF(AO20="","",IF(AO71=D20,0,AN80-(G20-AO20)))</f>
        <v/>
      </c>
      <c r="AP80" s="15" t="str">
        <f aca="false">IF(AP20="","",IF(AP71=D20,0,AO80-(G20-AP20)))</f>
        <v/>
      </c>
      <c r="AQ80" s="15" t="str">
        <f aca="false">IF(AQ20="","",IF(AQ71=D20,0,AP80-(G20-AQ20)))</f>
        <v/>
      </c>
      <c r="AR80" s="15" t="str">
        <f aca="false">IF(AR20="","",IF(AR71=D20,0,AQ80-(G20-AR20)))</f>
        <v/>
      </c>
      <c r="AS80" s="15" t="str">
        <f aca="false">IF(AS20="","",IF(AS71=D20,0,AR80-(G20-AS20)))</f>
        <v/>
      </c>
      <c r="AT80" s="15" t="str">
        <f aca="false">IF(AT20="","",IF(AT71=D20,0,AS80-(G20-AT20)))</f>
        <v/>
      </c>
      <c r="AU80" s="15" t="str">
        <f aca="false">IF(AU20="","",IF(AU71=D20,0,AT80-(G20-AU20)))</f>
        <v/>
      </c>
      <c r="AV80" s="15" t="str">
        <f aca="false">IF(AV20="","",IF(AV71=D20,0,AU80-(G20-AV20)))</f>
        <v/>
      </c>
      <c r="AW80" s="15" t="str">
        <f aca="false">IF(AW20="","",IF(AW71=D20,0,AV80-(G20-AW20)))</f>
        <v/>
      </c>
      <c r="AX80" s="15" t="str">
        <f aca="false">IF(AX20="","",IF(AX71=D20,0,AW80-(G20-AX20)))</f>
        <v/>
      </c>
      <c r="AY80" s="15" t="str">
        <f aca="false">IF(AY20="","",IF(AY71=D20,0,AX80-(G20-AY20)))</f>
        <v/>
      </c>
      <c r="AZ80" s="15" t="str">
        <f aca="false">IF(AZ20="","",IF(AZ71=D20,0,AY80-(G20-AZ20)))</f>
        <v/>
      </c>
      <c r="BA80" s="15" t="str">
        <f aca="false">IF(BA20="","",IF(BA71=D20,0,AZ80-(G20-BA20)))</f>
        <v/>
      </c>
      <c r="BB80" s="15" t="str">
        <f aca="false">IF(BB20="","",IF(BB71=D20,0,BA80-(G20-BB20)))</f>
        <v/>
      </c>
      <c r="BC80" s="15" t="str">
        <f aca="false">IF(BC20="","",IF(BC71=D20,0,BB80-(G20-BC20)))</f>
        <v/>
      </c>
      <c r="BD80" s="15" t="str">
        <f aca="false">IF(BD20="","",IF(BD71=D20,0,BC80-(G20-BD20)))</f>
        <v/>
      </c>
      <c r="BE80" s="15" t="str">
        <f aca="false">IF(BE20="","",IF(BE71=D20,0,BD80-(G20-BE20)))</f>
        <v/>
      </c>
      <c r="BF80" s="15" t="str">
        <f aca="false">IF(BF20="","",IF(BF71=D20,0,BE80-(G20-BF20)))</f>
        <v/>
      </c>
      <c r="BG80" s="15" t="str">
        <f aca="false">IF(BG20="","",IF(BG71=D20,0,BF80-(G20-BG20)))</f>
        <v/>
      </c>
      <c r="BH80" s="15" t="str">
        <f aca="false">IF(BH20="","",IF(BH71=D20,0,BG80-(G20-BH20)))</f>
        <v/>
      </c>
      <c r="BI80" s="15" t="str">
        <f aca="false">IF(BI20="","",IF(BI71=D20,0,BH80-(G20-BI20)))</f>
        <v/>
      </c>
      <c r="BJ80" s="15" t="str">
        <f aca="false">IF(BJ20="","",IF(BJ71=D20,0,BI80-(G20-BJ20)))</f>
        <v/>
      </c>
      <c r="BK80" s="15" t="str">
        <f aca="false">IF(BK20="","",IF(BK71=D20,0,BJ80-(G20-BK20)))</f>
        <v/>
      </c>
      <c r="BL80" s="15" t="str">
        <f aca="false">IF(BL20="","",IF(BL71=D20,0,BK80-(G20-BL20)))</f>
        <v/>
      </c>
      <c r="BM80" s="15" t="str">
        <f aca="false">IF(BM20="","",IF(BM71=D20,0,BL80-(G20-BM20)))</f>
        <v/>
      </c>
      <c r="BN80" s="15" t="str">
        <f aca="false">IF(BN20="","",IF(BN71=D20,0,BM80-(G20-BN20)))</f>
        <v/>
      </c>
      <c r="BO80" s="15" t="str">
        <f aca="false">IF(BO20="","",IF(BO71=D20,0,BN80-(G20-BO20)))</f>
        <v/>
      </c>
      <c r="BP80" s="15" t="str">
        <f aca="false">IF(BP20="","",IF(BP71=D20,0,BO80-(G20-BP20)))</f>
        <v/>
      </c>
    </row>
    <row r="81" customFormat="false" ht="15" hidden="false" customHeight="false" outlineLevel="0" collapsed="false">
      <c r="A81" s="29" t="str">
        <f aca="false">A21</f>
        <v/>
      </c>
      <c r="B81" s="29" t="str">
        <f aca="false">B21</f>
        <v/>
      </c>
      <c r="C81" s="29" t="str">
        <f aca="false">C21</f>
        <v/>
      </c>
      <c r="D81" s="16" t="str">
        <f aca="false">D21</f>
        <v/>
      </c>
      <c r="E81" s="17" t="str">
        <f aca="false">E21</f>
        <v/>
      </c>
      <c r="F81" s="15" t="str">
        <f aca="false">F21</f>
        <v/>
      </c>
      <c r="G81" s="15" t="str">
        <f aca="false">G21</f>
        <v/>
      </c>
      <c r="I81" s="15" t="str">
        <f aca="false">IF(I21="","",IF(I71=D21,0,F21-(G21-I21)))</f>
        <v/>
      </c>
      <c r="J81" s="15" t="str">
        <f aca="false">IF(J21="","",IF(J71=D21,0,I81-(G21-J21)))</f>
        <v/>
      </c>
      <c r="K81" s="15" t="str">
        <f aca="false">IF(K21="","",IF(K71=D21,0,J81-(G21-K21)))</f>
        <v/>
      </c>
      <c r="L81" s="15" t="str">
        <f aca="false">IF(L21="","",IF(L71=D21,0,K81-(G21-L21)))</f>
        <v/>
      </c>
      <c r="M81" s="15" t="str">
        <f aca="false">IF(M21="","",IF(M71=D21,0,L81-(G21-M21)))</f>
        <v/>
      </c>
      <c r="N81" s="15" t="str">
        <f aca="false">IF(N21="","",IF(N71=D21,0,M81-(G21-N21)))</f>
        <v/>
      </c>
      <c r="O81" s="15" t="str">
        <f aca="false">IF(O21="","",IF(O71=D21,0,N81-(G21-O21)))</f>
        <v/>
      </c>
      <c r="P81" s="15" t="str">
        <f aca="false">IF(P21="","",IF(P71=D21,0,O81-(G21-P21)))</f>
        <v/>
      </c>
      <c r="Q81" s="15" t="str">
        <f aca="false">IF(Q21="","",IF(Q71=D21,0,P81-(G21-Q21)))</f>
        <v/>
      </c>
      <c r="R81" s="15" t="str">
        <f aca="false">IF(R21="","",IF(R71=D21,0,Q81-(G21-R21)))</f>
        <v/>
      </c>
      <c r="S81" s="15" t="str">
        <f aca="false">IF(S21="","",IF(S71=D21,0,R81-(G21-S21)))</f>
        <v/>
      </c>
      <c r="T81" s="15" t="str">
        <f aca="false">IF(T21="","",IF(T71=D21,0,S81-(G21-T21)))</f>
        <v/>
      </c>
      <c r="U81" s="15" t="str">
        <f aca="false">IF(U21="","",IF(U71=D21,0,T81-(G21-U21)))</f>
        <v/>
      </c>
      <c r="V81" s="15" t="str">
        <f aca="false">IF(V21="","",IF(V71=D21,0,U81-(G21-V21)))</f>
        <v/>
      </c>
      <c r="W81" s="15" t="str">
        <f aca="false">IF(W21="","",IF(W71=D21,0,V81-(G21-W21)))</f>
        <v/>
      </c>
      <c r="X81" s="15" t="str">
        <f aca="false">IF(X21="","",IF(X71=D21,0,W81-(G21-X21)))</f>
        <v/>
      </c>
      <c r="Y81" s="15" t="str">
        <f aca="false">IF(Y21="","",IF(Y71=D21,0,X81-(G21-Y21)))</f>
        <v/>
      </c>
      <c r="Z81" s="15" t="str">
        <f aca="false">IF(Z21="","",IF(Z71=D21,0,Y81-(G21-Z21)))</f>
        <v/>
      </c>
      <c r="AA81" s="15" t="str">
        <f aca="false">IF(AA21="","",IF(AA71=D21,0,Z81-(G21-AA21)))</f>
        <v/>
      </c>
      <c r="AB81" s="15" t="str">
        <f aca="false">IF(AB21="","",IF(AB71=D21,0,AA81-(G21-AB21)))</f>
        <v/>
      </c>
      <c r="AC81" s="15" t="str">
        <f aca="false">IF(AC21="","",IF(AC71=D21,0,AB81-(G21-AC21)))</f>
        <v/>
      </c>
      <c r="AD81" s="15" t="str">
        <f aca="false">IF(AD21="","",IF(AD71=D21,0,AC81-(G21-AD21)))</f>
        <v/>
      </c>
      <c r="AE81" s="15" t="str">
        <f aca="false">IF(AE21="","",IF(AE71=D21,0,AD81-(G21-AE21)))</f>
        <v/>
      </c>
      <c r="AF81" s="15" t="str">
        <f aca="false">IF(AF21="","",IF(AF71=D21,0,AE81-(G21-AF21)))</f>
        <v/>
      </c>
      <c r="AG81" s="15" t="str">
        <f aca="false">IF(AG21="","",IF(AG71=D21,0,AF81-(G21-AG21)))</f>
        <v/>
      </c>
      <c r="AH81" s="15" t="str">
        <f aca="false">IF(AH21="","",IF(AH71=D21,0,AG81-(G21-AH21)))</f>
        <v/>
      </c>
      <c r="AI81" s="15" t="str">
        <f aca="false">IF(AI21="","",IF(AI71=D21,0,AH81-(G21-AI21)))</f>
        <v/>
      </c>
      <c r="AJ81" s="15" t="str">
        <f aca="false">IF(AJ21="","",IF(AJ71=D21,0,AI81-(G21-AJ21)))</f>
        <v/>
      </c>
      <c r="AK81" s="15" t="str">
        <f aca="false">IF(AK21="","",IF(AK71=D21,0,AJ81-(G21-AK21)))</f>
        <v/>
      </c>
      <c r="AL81" s="15" t="str">
        <f aca="false">IF(AL21="","",IF(AL71=D21,0,AK81-(G21-AL21)))</f>
        <v/>
      </c>
      <c r="AM81" s="15" t="str">
        <f aca="false">IF(AM21="","",IF(AM71=D21,0,AL81-(G21-AM21)))</f>
        <v/>
      </c>
      <c r="AN81" s="15" t="str">
        <f aca="false">IF(AN21="","",IF(AN71=D21,0,AM81-(G21-AN21)))</f>
        <v/>
      </c>
      <c r="AO81" s="15" t="str">
        <f aca="false">IF(AO21="","",IF(AO71=D21,0,AN81-(G21-AO21)))</f>
        <v/>
      </c>
      <c r="AP81" s="15" t="str">
        <f aca="false">IF(AP21="","",IF(AP71=D21,0,AO81-(G21-AP21)))</f>
        <v/>
      </c>
      <c r="AQ81" s="15" t="str">
        <f aca="false">IF(AQ21="","",IF(AQ71=D21,0,AP81-(G21-AQ21)))</f>
        <v/>
      </c>
      <c r="AR81" s="15" t="str">
        <f aca="false">IF(AR21="","",IF(AR71=D21,0,AQ81-(G21-AR21)))</f>
        <v/>
      </c>
      <c r="AS81" s="15" t="str">
        <f aca="false">IF(AS21="","",IF(AS71=D21,0,AR81-(G21-AS21)))</f>
        <v/>
      </c>
      <c r="AT81" s="15" t="str">
        <f aca="false">IF(AT21="","",IF(AT71=D21,0,AS81-(G21-AT21)))</f>
        <v/>
      </c>
      <c r="AU81" s="15" t="str">
        <f aca="false">IF(AU21="","",IF(AU71=D21,0,AT81-(G21-AU21)))</f>
        <v/>
      </c>
      <c r="AV81" s="15" t="str">
        <f aca="false">IF(AV21="","",IF(AV71=D21,0,AU81-(G21-AV21)))</f>
        <v/>
      </c>
      <c r="AW81" s="15" t="str">
        <f aca="false">IF(AW21="","",IF(AW71=D21,0,AV81-(G21-AW21)))</f>
        <v/>
      </c>
      <c r="AX81" s="15" t="str">
        <f aca="false">IF(AX21="","",IF(AX71=D21,0,AW81-(G21-AX21)))</f>
        <v/>
      </c>
      <c r="AY81" s="15" t="str">
        <f aca="false">IF(AY21="","",IF(AY71=D21,0,AX81-(G21-AY21)))</f>
        <v/>
      </c>
      <c r="AZ81" s="15" t="str">
        <f aca="false">IF(AZ21="","",IF(AZ71=D21,0,AY81-(G21-AZ21)))</f>
        <v/>
      </c>
      <c r="BA81" s="15" t="str">
        <f aca="false">IF(BA21="","",IF(BA71=D21,0,AZ81-(G21-BA21)))</f>
        <v/>
      </c>
      <c r="BB81" s="15" t="str">
        <f aca="false">IF(BB21="","",IF(BB71=D21,0,BA81-(G21-BB21)))</f>
        <v/>
      </c>
      <c r="BC81" s="15" t="str">
        <f aca="false">IF(BC21="","",IF(BC71=D21,0,BB81-(G21-BC21)))</f>
        <v/>
      </c>
      <c r="BD81" s="15" t="str">
        <f aca="false">IF(BD21="","",IF(BD71=D21,0,BC81-(G21-BD21)))</f>
        <v/>
      </c>
      <c r="BE81" s="15" t="str">
        <f aca="false">IF(BE21="","",IF(BE71=D21,0,BD81-(G21-BE21)))</f>
        <v/>
      </c>
      <c r="BF81" s="15" t="str">
        <f aca="false">IF(BF21="","",IF(BF71=D21,0,BE81-(G21-BF21)))</f>
        <v/>
      </c>
      <c r="BG81" s="15" t="str">
        <f aca="false">IF(BG21="","",IF(BG71=D21,0,BF81-(G21-BG21)))</f>
        <v/>
      </c>
      <c r="BH81" s="15" t="str">
        <f aca="false">IF(BH21="","",IF(BH71=D21,0,BG81-(G21-BH21)))</f>
        <v/>
      </c>
      <c r="BI81" s="15" t="str">
        <f aca="false">IF(BI21="","",IF(BI71=D21,0,BH81-(G21-BI21)))</f>
        <v/>
      </c>
      <c r="BJ81" s="15" t="str">
        <f aca="false">IF(BJ21="","",IF(BJ71=D21,0,BI81-(G21-BJ21)))</f>
        <v/>
      </c>
      <c r="BK81" s="15" t="str">
        <f aca="false">IF(BK21="","",IF(BK71=D21,0,BJ81-(G21-BK21)))</f>
        <v/>
      </c>
      <c r="BL81" s="15" t="str">
        <f aca="false">IF(BL21="","",IF(BL71=D21,0,BK81-(G21-BL21)))</f>
        <v/>
      </c>
      <c r="BM81" s="15" t="str">
        <f aca="false">IF(BM21="","",IF(BM71=D21,0,BL81-(G21-BM21)))</f>
        <v/>
      </c>
      <c r="BN81" s="15" t="str">
        <f aca="false">IF(BN21="","",IF(BN71=D21,0,BM81-(G21-BN21)))</f>
        <v/>
      </c>
      <c r="BO81" s="15" t="str">
        <f aca="false">IF(BO21="","",IF(BO71=D21,0,BN81-(G21-BO21)))</f>
        <v/>
      </c>
      <c r="BP81" s="15" t="str">
        <f aca="false">IF(BP21="","",IF(BP71=D21,0,BO81-(G21-BP21)))</f>
        <v/>
      </c>
    </row>
    <row r="82" customFormat="false" ht="15" hidden="false" customHeight="false" outlineLevel="0" collapsed="false">
      <c r="A82" s="29" t="str">
        <f aca="false">A22</f>
        <v/>
      </c>
      <c r="B82" s="29" t="str">
        <f aca="false">B22</f>
        <v/>
      </c>
      <c r="C82" s="29" t="str">
        <f aca="false">C22</f>
        <v/>
      </c>
      <c r="D82" s="16" t="str">
        <f aca="false">D22</f>
        <v/>
      </c>
      <c r="E82" s="17" t="str">
        <f aca="false">E22</f>
        <v/>
      </c>
      <c r="F82" s="15" t="str">
        <f aca="false">F22</f>
        <v/>
      </c>
      <c r="G82" s="15" t="str">
        <f aca="false">G22</f>
        <v/>
      </c>
      <c r="I82" s="15" t="str">
        <f aca="false">IF(I22="","",IF(I71=D22,0,F22-(G22-I22)))</f>
        <v/>
      </c>
      <c r="J82" s="15" t="str">
        <f aca="false">IF(J22="","",IF(J71=D22,0,I82-(G22-J22)))</f>
        <v/>
      </c>
      <c r="K82" s="15" t="str">
        <f aca="false">IF(K22="","",IF(K71=D22,0,J82-(G22-K22)))</f>
        <v/>
      </c>
      <c r="L82" s="15" t="str">
        <f aca="false">IF(L22="","",IF(L71=D22,0,K82-(G22-L22)))</f>
        <v/>
      </c>
      <c r="M82" s="15" t="str">
        <f aca="false">IF(M22="","",IF(M71=D22,0,L82-(G22-M22)))</f>
        <v/>
      </c>
      <c r="N82" s="15" t="str">
        <f aca="false">IF(N22="","",IF(N71=D22,0,M82-(G22-N22)))</f>
        <v/>
      </c>
      <c r="O82" s="15" t="str">
        <f aca="false">IF(O22="","",IF(O71=D22,0,N82-(G22-O22)))</f>
        <v/>
      </c>
      <c r="P82" s="15" t="str">
        <f aca="false">IF(P22="","",IF(P71=D22,0,O82-(G22-P22)))</f>
        <v/>
      </c>
      <c r="Q82" s="15" t="str">
        <f aca="false">IF(Q22="","",IF(Q71=D22,0,P82-(G22-Q22)))</f>
        <v/>
      </c>
      <c r="R82" s="15" t="str">
        <f aca="false">IF(R22="","",IF(R71=D22,0,Q82-(G22-R22)))</f>
        <v/>
      </c>
      <c r="S82" s="15" t="str">
        <f aca="false">IF(S22="","",IF(S71=D22,0,R82-(G22-S22)))</f>
        <v/>
      </c>
      <c r="T82" s="15" t="str">
        <f aca="false">IF(T22="","",IF(T71=D22,0,S82-(G22-T22)))</f>
        <v/>
      </c>
      <c r="U82" s="15" t="str">
        <f aca="false">IF(U22="","",IF(U71=D22,0,T82-(G22-U22)))</f>
        <v/>
      </c>
      <c r="V82" s="15" t="str">
        <f aca="false">IF(V22="","",IF(V71=D22,0,U82-(G22-V22)))</f>
        <v/>
      </c>
      <c r="W82" s="15" t="str">
        <f aca="false">IF(W22="","",IF(W71=D22,0,V82-(G22-W22)))</f>
        <v/>
      </c>
      <c r="X82" s="15" t="str">
        <f aca="false">IF(X22="","",IF(X71=D22,0,W82-(G22-X22)))</f>
        <v/>
      </c>
      <c r="Y82" s="15" t="str">
        <f aca="false">IF(Y22="","",IF(Y71=D22,0,X82-(G22-Y22)))</f>
        <v/>
      </c>
      <c r="Z82" s="15" t="str">
        <f aca="false">IF(Z22="","",IF(Z71=D22,0,Y82-(G22-Z22)))</f>
        <v/>
      </c>
      <c r="AA82" s="15" t="str">
        <f aca="false">IF(AA22="","",IF(AA71=D22,0,Z82-(G22-AA22)))</f>
        <v/>
      </c>
      <c r="AB82" s="15" t="str">
        <f aca="false">IF(AB22="","",IF(AB71=D22,0,AA82-(G22-AB22)))</f>
        <v/>
      </c>
      <c r="AC82" s="15" t="str">
        <f aca="false">IF(AC22="","",IF(AC71=D22,0,AB82-(G22-AC22)))</f>
        <v/>
      </c>
      <c r="AD82" s="15" t="str">
        <f aca="false">IF(AD22="","",IF(AD71=D22,0,AC82-(G22-AD22)))</f>
        <v/>
      </c>
      <c r="AE82" s="15" t="str">
        <f aca="false">IF(AE22="","",IF(AE71=D22,0,AD82-(G22-AE22)))</f>
        <v/>
      </c>
      <c r="AF82" s="15" t="str">
        <f aca="false">IF(AF22="","",IF(AF71=D22,0,AE82-(G22-AF22)))</f>
        <v/>
      </c>
      <c r="AG82" s="15" t="str">
        <f aca="false">IF(AG22="","",IF(AG71=D22,0,AF82-(G22-AG22)))</f>
        <v/>
      </c>
      <c r="AH82" s="15" t="str">
        <f aca="false">IF(AH22="","",IF(AH71=D22,0,AG82-(G22-AH22)))</f>
        <v/>
      </c>
      <c r="AI82" s="15" t="str">
        <f aca="false">IF(AI22="","",IF(AI71=D22,0,AH82-(G22-AI22)))</f>
        <v/>
      </c>
      <c r="AJ82" s="15" t="str">
        <f aca="false">IF(AJ22="","",IF(AJ71=D22,0,AI82-(G22-AJ22)))</f>
        <v/>
      </c>
      <c r="AK82" s="15" t="str">
        <f aca="false">IF(AK22="","",IF(AK71=D22,0,AJ82-(G22-AK22)))</f>
        <v/>
      </c>
      <c r="AL82" s="15" t="str">
        <f aca="false">IF(AL22="","",IF(AL71=D22,0,AK82-(G22-AL22)))</f>
        <v/>
      </c>
      <c r="AM82" s="15" t="str">
        <f aca="false">IF(AM22="","",IF(AM71=D22,0,AL82-(G22-AM22)))</f>
        <v/>
      </c>
      <c r="AN82" s="15" t="str">
        <f aca="false">IF(AN22="","",IF(AN71=D22,0,AM82-(G22-AN22)))</f>
        <v/>
      </c>
      <c r="AO82" s="15" t="str">
        <f aca="false">IF(AO22="","",IF(AO71=D22,0,AN82-(G22-AO22)))</f>
        <v/>
      </c>
      <c r="AP82" s="15" t="str">
        <f aca="false">IF(AP22="","",IF(AP71=D22,0,AO82-(G22-AP22)))</f>
        <v/>
      </c>
      <c r="AQ82" s="15" t="str">
        <f aca="false">IF(AQ22="","",IF(AQ71=D22,0,AP82-(G22-AQ22)))</f>
        <v/>
      </c>
      <c r="AR82" s="15" t="str">
        <f aca="false">IF(AR22="","",IF(AR71=D22,0,AQ82-(G22-AR22)))</f>
        <v/>
      </c>
      <c r="AS82" s="15" t="str">
        <f aca="false">IF(AS22="","",IF(AS71=D22,0,AR82-(G22-AS22)))</f>
        <v/>
      </c>
      <c r="AT82" s="15" t="str">
        <f aca="false">IF(AT22="","",IF(AT71=D22,0,AS82-(G22-AT22)))</f>
        <v/>
      </c>
      <c r="AU82" s="15" t="str">
        <f aca="false">IF(AU22="","",IF(AU71=D22,0,AT82-(G22-AU22)))</f>
        <v/>
      </c>
      <c r="AV82" s="15" t="str">
        <f aca="false">IF(AV22="","",IF(AV71=D22,0,AU82-(G22-AV22)))</f>
        <v/>
      </c>
      <c r="AW82" s="15" t="str">
        <f aca="false">IF(AW22="","",IF(AW71=D22,0,AV82-(G22-AW22)))</f>
        <v/>
      </c>
      <c r="AX82" s="15" t="str">
        <f aca="false">IF(AX22="","",IF(AX71=D22,0,AW82-(G22-AX22)))</f>
        <v/>
      </c>
      <c r="AY82" s="15" t="str">
        <f aca="false">IF(AY22="","",IF(AY71=D22,0,AX82-(G22-AY22)))</f>
        <v/>
      </c>
      <c r="AZ82" s="15" t="str">
        <f aca="false">IF(AZ22="","",IF(AZ71=D22,0,AY82-(G22-AZ22)))</f>
        <v/>
      </c>
      <c r="BA82" s="15" t="str">
        <f aca="false">IF(BA22="","",IF(BA71=D22,0,AZ82-(G22-BA22)))</f>
        <v/>
      </c>
      <c r="BB82" s="15" t="str">
        <f aca="false">IF(BB22="","",IF(BB71=D22,0,BA82-(G22-BB22)))</f>
        <v/>
      </c>
      <c r="BC82" s="15" t="str">
        <f aca="false">IF(BC22="","",IF(BC71=D22,0,BB82-(G22-BC22)))</f>
        <v/>
      </c>
      <c r="BD82" s="15" t="str">
        <f aca="false">IF(BD22="","",IF(BD71=D22,0,BC82-(G22-BD22)))</f>
        <v/>
      </c>
      <c r="BE82" s="15" t="str">
        <f aca="false">IF(BE22="","",IF(BE71=D22,0,BD82-(G22-BE22)))</f>
        <v/>
      </c>
      <c r="BF82" s="15" t="str">
        <f aca="false">IF(BF22="","",IF(BF71=D22,0,BE82-(G22-BF22)))</f>
        <v/>
      </c>
      <c r="BG82" s="15" t="str">
        <f aca="false">IF(BG22="","",IF(BG71=D22,0,BF82-(G22-BG22)))</f>
        <v/>
      </c>
      <c r="BH82" s="15" t="str">
        <f aca="false">IF(BH22="","",IF(BH71=D22,0,BG82-(G22-BH22)))</f>
        <v/>
      </c>
      <c r="BI82" s="15" t="str">
        <f aca="false">IF(BI22="","",IF(BI71=D22,0,BH82-(G22-BI22)))</f>
        <v/>
      </c>
      <c r="BJ82" s="15" t="str">
        <f aca="false">IF(BJ22="","",IF(BJ71=D22,0,BI82-(G22-BJ22)))</f>
        <v/>
      </c>
      <c r="BK82" s="15" t="str">
        <f aca="false">IF(BK22="","",IF(BK71=D22,0,BJ82-(G22-BK22)))</f>
        <v/>
      </c>
      <c r="BL82" s="15" t="str">
        <f aca="false">IF(BL22="","",IF(BL71=D22,0,BK82-(G22-BL22)))</f>
        <v/>
      </c>
      <c r="BM82" s="15" t="str">
        <f aca="false">IF(BM22="","",IF(BM71=D22,0,BL82-(G22-BM22)))</f>
        <v/>
      </c>
      <c r="BN82" s="15" t="str">
        <f aca="false">IF(BN22="","",IF(BN71=D22,0,BM82-(G22-BN22)))</f>
        <v/>
      </c>
      <c r="BO82" s="15" t="str">
        <f aca="false">IF(BO22="","",IF(BO71=D22,0,BN82-(G22-BO22)))</f>
        <v/>
      </c>
      <c r="BP82" s="15" t="str">
        <f aca="false">IF(BP22="","",IF(BP71=D22,0,BO82-(G22-BP22)))</f>
        <v/>
      </c>
    </row>
    <row r="83" customFormat="false" ht="15" hidden="false" customHeight="false" outlineLevel="0" collapsed="false">
      <c r="A83" s="29" t="str">
        <f aca="false">A23</f>
        <v/>
      </c>
      <c r="B83" s="29" t="str">
        <f aca="false">B23</f>
        <v/>
      </c>
      <c r="C83" s="29" t="str">
        <f aca="false">C23</f>
        <v/>
      </c>
      <c r="D83" s="16" t="str">
        <f aca="false">D23</f>
        <v/>
      </c>
      <c r="E83" s="17" t="str">
        <f aca="false">E23</f>
        <v/>
      </c>
      <c r="F83" s="15" t="str">
        <f aca="false">F23</f>
        <v/>
      </c>
      <c r="G83" s="15" t="str">
        <f aca="false">G23</f>
        <v/>
      </c>
      <c r="I83" s="15" t="str">
        <f aca="false">IF(I23="","",IF(I71=D23,0,F23-(G23-I23)))</f>
        <v/>
      </c>
      <c r="J83" s="15" t="str">
        <f aca="false">IF(J23="","",IF(J71=D23,0,I83-(G23-J23)))</f>
        <v/>
      </c>
      <c r="K83" s="15" t="str">
        <f aca="false">IF(K23="","",IF(K71=D23,0,J83-(G23-K23)))</f>
        <v/>
      </c>
      <c r="L83" s="15" t="str">
        <f aca="false">IF(L23="","",IF(L71=D23,0,K83-(G23-L23)))</f>
        <v/>
      </c>
      <c r="M83" s="15" t="str">
        <f aca="false">IF(M23="","",IF(M71=D23,0,L83-(G23-M23)))</f>
        <v/>
      </c>
      <c r="N83" s="15" t="str">
        <f aca="false">IF(N23="","",IF(N71=D23,0,M83-(G23-N23)))</f>
        <v/>
      </c>
      <c r="O83" s="15" t="str">
        <f aca="false">IF(O23="","",IF(O71=D23,0,N83-(G23-O23)))</f>
        <v/>
      </c>
      <c r="P83" s="15" t="str">
        <f aca="false">IF(P23="","",IF(P71=D23,0,O83-(G23-P23)))</f>
        <v/>
      </c>
      <c r="Q83" s="15" t="str">
        <f aca="false">IF(Q23="","",IF(Q71=D23,0,P83-(G23-Q23)))</f>
        <v/>
      </c>
      <c r="R83" s="15" t="str">
        <f aca="false">IF(R23="","",IF(R71=D23,0,Q83-(G23-R23)))</f>
        <v/>
      </c>
      <c r="S83" s="15" t="str">
        <f aca="false">IF(S23="","",IF(S71=D23,0,R83-(G23-S23)))</f>
        <v/>
      </c>
      <c r="T83" s="15" t="str">
        <f aca="false">IF(T23="","",IF(T71=D23,0,S83-(G23-T23)))</f>
        <v/>
      </c>
      <c r="U83" s="15" t="str">
        <f aca="false">IF(U23="","",IF(U71=D23,0,T83-(G23-U23)))</f>
        <v/>
      </c>
      <c r="V83" s="15" t="str">
        <f aca="false">IF(V23="","",IF(V71=D23,0,U83-(G23-V23)))</f>
        <v/>
      </c>
      <c r="W83" s="15" t="str">
        <f aca="false">IF(W23="","",IF(W71=D23,0,V83-(G23-W23)))</f>
        <v/>
      </c>
      <c r="X83" s="15" t="str">
        <f aca="false">IF(X23="","",IF(X71=D23,0,W83-(G23-X23)))</f>
        <v/>
      </c>
      <c r="Y83" s="15" t="str">
        <f aca="false">IF(Y23="","",IF(Y71=D23,0,X83-(G23-Y23)))</f>
        <v/>
      </c>
      <c r="Z83" s="15" t="str">
        <f aca="false">IF(Z23="","",IF(Z71=D23,0,Y83-(G23-Z23)))</f>
        <v/>
      </c>
      <c r="AA83" s="15" t="str">
        <f aca="false">IF(AA23="","",IF(AA71=D23,0,Z83-(G23-AA23)))</f>
        <v/>
      </c>
      <c r="AB83" s="15" t="str">
        <f aca="false">IF(AB23="","",IF(AB71=D23,0,AA83-(G23-AB23)))</f>
        <v/>
      </c>
      <c r="AC83" s="15" t="str">
        <f aca="false">IF(AC23="","",IF(AC71=D23,0,AB83-(G23-AC23)))</f>
        <v/>
      </c>
      <c r="AD83" s="15" t="str">
        <f aca="false">IF(AD23="","",IF(AD71=D23,0,AC83-(G23-AD23)))</f>
        <v/>
      </c>
      <c r="AE83" s="15" t="str">
        <f aca="false">IF(AE23="","",IF(AE71=D23,0,AD83-(G23-AE23)))</f>
        <v/>
      </c>
      <c r="AF83" s="15" t="str">
        <f aca="false">IF(AF23="","",IF(AF71=D23,0,AE83-(G23-AF23)))</f>
        <v/>
      </c>
      <c r="AG83" s="15" t="str">
        <f aca="false">IF(AG23="","",IF(AG71=D23,0,AF83-(G23-AG23)))</f>
        <v/>
      </c>
      <c r="AH83" s="15" t="str">
        <f aca="false">IF(AH23="","",IF(AH71=D23,0,AG83-(G23-AH23)))</f>
        <v/>
      </c>
      <c r="AI83" s="15" t="str">
        <f aca="false">IF(AI23="","",IF(AI71=D23,0,AH83-(G23-AI23)))</f>
        <v/>
      </c>
      <c r="AJ83" s="15" t="str">
        <f aca="false">IF(AJ23="","",IF(AJ71=D23,0,AI83-(G23-AJ23)))</f>
        <v/>
      </c>
      <c r="AK83" s="15" t="str">
        <f aca="false">IF(AK23="","",IF(AK71=D23,0,AJ83-(G23-AK23)))</f>
        <v/>
      </c>
      <c r="AL83" s="15" t="str">
        <f aca="false">IF(AL23="","",IF(AL71=D23,0,AK83-(G23-AL23)))</f>
        <v/>
      </c>
      <c r="AM83" s="15" t="str">
        <f aca="false">IF(AM23="","",IF(AM71=D23,0,AL83-(G23-AM23)))</f>
        <v/>
      </c>
      <c r="AN83" s="15" t="str">
        <f aca="false">IF(AN23="","",IF(AN71=D23,0,AM83-(G23-AN23)))</f>
        <v/>
      </c>
      <c r="AO83" s="15" t="str">
        <f aca="false">IF(AO23="","",IF(AO71=D23,0,AN83-(G23-AO23)))</f>
        <v/>
      </c>
      <c r="AP83" s="15" t="str">
        <f aca="false">IF(AP23="","",IF(AP71=D23,0,AO83-(G23-AP23)))</f>
        <v/>
      </c>
      <c r="AQ83" s="15" t="str">
        <f aca="false">IF(AQ23="","",IF(AQ71=D23,0,AP83-(G23-AQ23)))</f>
        <v/>
      </c>
      <c r="AR83" s="15" t="str">
        <f aca="false">IF(AR23="","",IF(AR71=D23,0,AQ83-(G23-AR23)))</f>
        <v/>
      </c>
      <c r="AS83" s="15" t="str">
        <f aca="false">IF(AS23="","",IF(AS71=D23,0,AR83-(G23-AS23)))</f>
        <v/>
      </c>
      <c r="AT83" s="15" t="str">
        <f aca="false">IF(AT23="","",IF(AT71=D23,0,AS83-(G23-AT23)))</f>
        <v/>
      </c>
      <c r="AU83" s="15" t="str">
        <f aca="false">IF(AU23="","",IF(AU71=D23,0,AT83-(G23-AU23)))</f>
        <v/>
      </c>
      <c r="AV83" s="15" t="str">
        <f aca="false">IF(AV23="","",IF(AV71=D23,0,AU83-(G23-AV23)))</f>
        <v/>
      </c>
      <c r="AW83" s="15" t="str">
        <f aca="false">IF(AW23="","",IF(AW71=D23,0,AV83-(G23-AW23)))</f>
        <v/>
      </c>
      <c r="AX83" s="15" t="str">
        <f aca="false">IF(AX23="","",IF(AX71=D23,0,AW83-(G23-AX23)))</f>
        <v/>
      </c>
      <c r="AY83" s="15" t="str">
        <f aca="false">IF(AY23="","",IF(AY71=D23,0,AX83-(G23-AY23)))</f>
        <v/>
      </c>
      <c r="AZ83" s="15" t="str">
        <f aca="false">IF(AZ23="","",IF(AZ71=D23,0,AY83-(G23-AZ23)))</f>
        <v/>
      </c>
      <c r="BA83" s="15" t="str">
        <f aca="false">IF(BA23="","",IF(BA71=D23,0,AZ83-(G23-BA23)))</f>
        <v/>
      </c>
      <c r="BB83" s="15" t="str">
        <f aca="false">IF(BB23="","",IF(BB71=D23,0,BA83-(G23-BB23)))</f>
        <v/>
      </c>
      <c r="BC83" s="15" t="str">
        <f aca="false">IF(BC23="","",IF(BC71=D23,0,BB83-(G23-BC23)))</f>
        <v/>
      </c>
      <c r="BD83" s="15" t="str">
        <f aca="false">IF(BD23="","",IF(BD71=D23,0,BC83-(G23-BD23)))</f>
        <v/>
      </c>
      <c r="BE83" s="15" t="str">
        <f aca="false">IF(BE23="","",IF(BE71=D23,0,BD83-(G23-BE23)))</f>
        <v/>
      </c>
      <c r="BF83" s="15" t="str">
        <f aca="false">IF(BF23="","",IF(BF71=D23,0,BE83-(G23-BF23)))</f>
        <v/>
      </c>
      <c r="BG83" s="15" t="str">
        <f aca="false">IF(BG23="","",IF(BG71=D23,0,BF83-(G23-BG23)))</f>
        <v/>
      </c>
      <c r="BH83" s="15" t="str">
        <f aca="false">IF(BH23="","",IF(BH71=D23,0,BG83-(G23-BH23)))</f>
        <v/>
      </c>
      <c r="BI83" s="15" t="str">
        <f aca="false">IF(BI23="","",IF(BI71=D23,0,BH83-(G23-BI23)))</f>
        <v/>
      </c>
      <c r="BJ83" s="15" t="str">
        <f aca="false">IF(BJ23="","",IF(BJ71=D23,0,BI83-(G23-BJ23)))</f>
        <v/>
      </c>
      <c r="BK83" s="15" t="str">
        <f aca="false">IF(BK23="","",IF(BK71=D23,0,BJ83-(G23-BK23)))</f>
        <v/>
      </c>
      <c r="BL83" s="15" t="str">
        <f aca="false">IF(BL23="","",IF(BL71=D23,0,BK83-(G23-BL23)))</f>
        <v/>
      </c>
      <c r="BM83" s="15" t="str">
        <f aca="false">IF(BM23="","",IF(BM71=D23,0,BL83-(G23-BM23)))</f>
        <v/>
      </c>
      <c r="BN83" s="15" t="str">
        <f aca="false">IF(BN23="","",IF(BN71=D23,0,BM83-(G23-BN23)))</f>
        <v/>
      </c>
      <c r="BO83" s="15" t="str">
        <f aca="false">IF(BO23="","",IF(BO71=D23,0,BN83-(G23-BO23)))</f>
        <v/>
      </c>
      <c r="BP83" s="15" t="str">
        <f aca="false">IF(BP23="","",IF(BP71=D23,0,BO83-(G23-BP23)))</f>
        <v/>
      </c>
    </row>
    <row r="84" customFormat="false" ht="15" hidden="false" customHeight="false" outlineLevel="0" collapsed="false">
      <c r="A84" s="29" t="str">
        <f aca="false">A24</f>
        <v/>
      </c>
      <c r="B84" s="29" t="str">
        <f aca="false">B24</f>
        <v/>
      </c>
      <c r="C84" s="29" t="str">
        <f aca="false">C24</f>
        <v/>
      </c>
      <c r="D84" s="16" t="str">
        <f aca="false">D24</f>
        <v/>
      </c>
      <c r="E84" s="17" t="str">
        <f aca="false">E24</f>
        <v/>
      </c>
      <c r="F84" s="15" t="str">
        <f aca="false">F24</f>
        <v/>
      </c>
      <c r="G84" s="15" t="str">
        <f aca="false">G24</f>
        <v/>
      </c>
      <c r="I84" s="15" t="str">
        <f aca="false">IF(I24="","",IF(I71=D24,0,F24-(G24-I24)))</f>
        <v/>
      </c>
      <c r="J84" s="15" t="str">
        <f aca="false">IF(J24="","",IF(J71=D24,0,I84-(G24-J24)))</f>
        <v/>
      </c>
      <c r="K84" s="15" t="str">
        <f aca="false">IF(K24="","",IF(K71=D24,0,J84-(G24-K24)))</f>
        <v/>
      </c>
      <c r="L84" s="15" t="str">
        <f aca="false">IF(L24="","",IF(L71=D24,0,K84-(G24-L24)))</f>
        <v/>
      </c>
      <c r="M84" s="15" t="str">
        <f aca="false">IF(M24="","",IF(M71=D24,0,L84-(G24-M24)))</f>
        <v/>
      </c>
      <c r="N84" s="15" t="str">
        <f aca="false">IF(N24="","",IF(N71=D24,0,M84-(G24-N24)))</f>
        <v/>
      </c>
      <c r="O84" s="15" t="str">
        <f aca="false">IF(O24="","",IF(O71=D24,0,N84-(G24-O24)))</f>
        <v/>
      </c>
      <c r="P84" s="15" t="str">
        <f aca="false">IF(P24="","",IF(P71=D24,0,O84-(G24-P24)))</f>
        <v/>
      </c>
      <c r="Q84" s="15" t="str">
        <f aca="false">IF(Q24="","",IF(Q71=D24,0,P84-(G24-Q24)))</f>
        <v/>
      </c>
      <c r="R84" s="15" t="str">
        <f aca="false">IF(R24="","",IF(R71=D24,0,Q84-(G24-R24)))</f>
        <v/>
      </c>
      <c r="S84" s="15" t="str">
        <f aca="false">IF(S24="","",IF(S71=D24,0,R84-(G24-S24)))</f>
        <v/>
      </c>
      <c r="T84" s="15" t="str">
        <f aca="false">IF(T24="","",IF(T71=D24,0,S84-(G24-T24)))</f>
        <v/>
      </c>
      <c r="U84" s="15" t="str">
        <f aca="false">IF(U24="","",IF(U71=D24,0,T84-(G24-U24)))</f>
        <v/>
      </c>
      <c r="V84" s="15" t="str">
        <f aca="false">IF(V24="","",IF(V71=D24,0,U84-(G24-V24)))</f>
        <v/>
      </c>
      <c r="W84" s="15" t="str">
        <f aca="false">IF(W24="","",IF(W71=D24,0,V84-(G24-W24)))</f>
        <v/>
      </c>
      <c r="X84" s="15" t="str">
        <f aca="false">IF(X24="","",IF(X71=D24,0,W84-(G24-X24)))</f>
        <v/>
      </c>
      <c r="Y84" s="15" t="str">
        <f aca="false">IF(Y24="","",IF(Y71=D24,0,X84-(G24-Y24)))</f>
        <v/>
      </c>
      <c r="Z84" s="15" t="str">
        <f aca="false">IF(Z24="","",IF(Z71=D24,0,Y84-(G24-Z24)))</f>
        <v/>
      </c>
      <c r="AA84" s="15" t="str">
        <f aca="false">IF(AA24="","",IF(AA71=D24,0,Z84-(G24-AA24)))</f>
        <v/>
      </c>
      <c r="AB84" s="15" t="str">
        <f aca="false">IF(AB24="","",IF(AB71=D24,0,AA84-(G24-AB24)))</f>
        <v/>
      </c>
      <c r="AC84" s="15" t="str">
        <f aca="false">IF(AC24="","",IF(AC71=D24,0,AB84-(G24-AC24)))</f>
        <v/>
      </c>
      <c r="AD84" s="15" t="str">
        <f aca="false">IF(AD24="","",IF(AD71=D24,0,AC84-(G24-AD24)))</f>
        <v/>
      </c>
      <c r="AE84" s="15" t="str">
        <f aca="false">IF(AE24="","",IF(AE71=D24,0,AD84-(G24-AE24)))</f>
        <v/>
      </c>
      <c r="AF84" s="15" t="str">
        <f aca="false">IF(AF24="","",IF(AF71=D24,0,AE84-(G24-AF24)))</f>
        <v/>
      </c>
      <c r="AG84" s="15" t="str">
        <f aca="false">IF(AG24="","",IF(AG71=D24,0,AF84-(G24-AG24)))</f>
        <v/>
      </c>
      <c r="AH84" s="15" t="str">
        <f aca="false">IF(AH24="","",IF(AH71=D24,0,AG84-(G24-AH24)))</f>
        <v/>
      </c>
      <c r="AI84" s="15" t="str">
        <f aca="false">IF(AI24="","",IF(AI71=D24,0,AH84-(G24-AI24)))</f>
        <v/>
      </c>
      <c r="AJ84" s="15" t="str">
        <f aca="false">IF(AJ24="","",IF(AJ71=D24,0,AI84-(G24-AJ24)))</f>
        <v/>
      </c>
      <c r="AK84" s="15" t="str">
        <f aca="false">IF(AK24="","",IF(AK71=D24,0,AJ84-(G24-AK24)))</f>
        <v/>
      </c>
      <c r="AL84" s="15" t="str">
        <f aca="false">IF(AL24="","",IF(AL71=D24,0,AK84-(G24-AL24)))</f>
        <v/>
      </c>
      <c r="AM84" s="15" t="str">
        <f aca="false">IF(AM24="","",IF(AM71=D24,0,AL84-(G24-AM24)))</f>
        <v/>
      </c>
      <c r="AN84" s="15" t="str">
        <f aca="false">IF(AN24="","",IF(AN71=D24,0,AM84-(G24-AN24)))</f>
        <v/>
      </c>
      <c r="AO84" s="15" t="str">
        <f aca="false">IF(AO24="","",IF(AO71=D24,0,AN84-(G24-AO24)))</f>
        <v/>
      </c>
      <c r="AP84" s="15" t="str">
        <f aca="false">IF(AP24="","",IF(AP71=D24,0,AO84-(G24-AP24)))</f>
        <v/>
      </c>
      <c r="AQ84" s="15" t="str">
        <f aca="false">IF(AQ24="","",IF(AQ71=D24,0,AP84-(G24-AQ24)))</f>
        <v/>
      </c>
      <c r="AR84" s="15" t="str">
        <f aca="false">IF(AR24="","",IF(AR71=D24,0,AQ84-(G24-AR24)))</f>
        <v/>
      </c>
      <c r="AS84" s="15" t="str">
        <f aca="false">IF(AS24="","",IF(AS71=D24,0,AR84-(G24-AS24)))</f>
        <v/>
      </c>
      <c r="AT84" s="15" t="str">
        <f aca="false">IF(AT24="","",IF(AT71=D24,0,AS84-(G24-AT24)))</f>
        <v/>
      </c>
      <c r="AU84" s="15" t="str">
        <f aca="false">IF(AU24="","",IF(AU71=D24,0,AT84-(G24-AU24)))</f>
        <v/>
      </c>
      <c r="AV84" s="15" t="str">
        <f aca="false">IF(AV24="","",IF(AV71=D24,0,AU84-(G24-AV24)))</f>
        <v/>
      </c>
      <c r="AW84" s="15" t="str">
        <f aca="false">IF(AW24="","",IF(AW71=D24,0,AV84-(G24-AW24)))</f>
        <v/>
      </c>
      <c r="AX84" s="15" t="str">
        <f aca="false">IF(AX24="","",IF(AX71=D24,0,AW84-(G24-AX24)))</f>
        <v/>
      </c>
      <c r="AY84" s="15" t="str">
        <f aca="false">IF(AY24="","",IF(AY71=D24,0,AX84-(G24-AY24)))</f>
        <v/>
      </c>
      <c r="AZ84" s="15" t="str">
        <f aca="false">IF(AZ24="","",IF(AZ71=D24,0,AY84-(G24-AZ24)))</f>
        <v/>
      </c>
      <c r="BA84" s="15" t="str">
        <f aca="false">IF(BA24="","",IF(BA71=D24,0,AZ84-(G24-BA24)))</f>
        <v/>
      </c>
      <c r="BB84" s="15" t="str">
        <f aca="false">IF(BB24="","",IF(BB71=D24,0,BA84-(G24-BB24)))</f>
        <v/>
      </c>
      <c r="BC84" s="15" t="str">
        <f aca="false">IF(BC24="","",IF(BC71=D24,0,BB84-(G24-BC24)))</f>
        <v/>
      </c>
      <c r="BD84" s="15" t="str">
        <f aca="false">IF(BD24="","",IF(BD71=D24,0,BC84-(G24-BD24)))</f>
        <v/>
      </c>
      <c r="BE84" s="15" t="str">
        <f aca="false">IF(BE24="","",IF(BE71=D24,0,BD84-(G24-BE24)))</f>
        <v/>
      </c>
      <c r="BF84" s="15" t="str">
        <f aca="false">IF(BF24="","",IF(BF71=D24,0,BE84-(G24-BF24)))</f>
        <v/>
      </c>
      <c r="BG84" s="15" t="str">
        <f aca="false">IF(BG24="","",IF(BG71=D24,0,BF84-(G24-BG24)))</f>
        <v/>
      </c>
      <c r="BH84" s="15" t="str">
        <f aca="false">IF(BH24="","",IF(BH71=D24,0,BG84-(G24-BH24)))</f>
        <v/>
      </c>
      <c r="BI84" s="15" t="str">
        <f aca="false">IF(BI24="","",IF(BI71=D24,0,BH84-(G24-BI24)))</f>
        <v/>
      </c>
      <c r="BJ84" s="15" t="str">
        <f aca="false">IF(BJ24="","",IF(BJ71=D24,0,BI84-(G24-BJ24)))</f>
        <v/>
      </c>
      <c r="BK84" s="15" t="str">
        <f aca="false">IF(BK24="","",IF(BK71=D24,0,BJ84-(G24-BK24)))</f>
        <v/>
      </c>
      <c r="BL84" s="15" t="str">
        <f aca="false">IF(BL24="","",IF(BL71=D24,0,BK84-(G24-BL24)))</f>
        <v/>
      </c>
      <c r="BM84" s="15" t="str">
        <f aca="false">IF(BM24="","",IF(BM71=D24,0,BL84-(G24-BM24)))</f>
        <v/>
      </c>
      <c r="BN84" s="15" t="str">
        <f aca="false">IF(BN24="","",IF(BN71=D24,0,BM84-(G24-BN24)))</f>
        <v/>
      </c>
      <c r="BO84" s="15" t="str">
        <f aca="false">IF(BO24="","",IF(BO71=D24,0,BN84-(G24-BO24)))</f>
        <v/>
      </c>
      <c r="BP84" s="15" t="str">
        <f aca="false">IF(BP24="","",IF(BP71=D24,0,BO84-(G24-BP24)))</f>
        <v/>
      </c>
    </row>
    <row r="85" customFormat="false" ht="15" hidden="false" customHeight="false" outlineLevel="0" collapsed="false">
      <c r="A85" s="29" t="str">
        <f aca="false">A25</f>
        <v/>
      </c>
      <c r="B85" s="29" t="str">
        <f aca="false">B25</f>
        <v/>
      </c>
      <c r="C85" s="29" t="str">
        <f aca="false">C25</f>
        <v/>
      </c>
      <c r="D85" s="16" t="str">
        <f aca="false">D25</f>
        <v/>
      </c>
      <c r="E85" s="17" t="str">
        <f aca="false">E25</f>
        <v/>
      </c>
      <c r="F85" s="15" t="str">
        <f aca="false">F25</f>
        <v/>
      </c>
      <c r="G85" s="15" t="str">
        <f aca="false">G25</f>
        <v/>
      </c>
      <c r="I85" s="15" t="str">
        <f aca="false">IF(I25="","",IF(I71=D25,0,F25-(G25-I25)))</f>
        <v/>
      </c>
      <c r="J85" s="15" t="str">
        <f aca="false">IF(J25="","",IF(J71=D25,0,I85-(G25-J25)))</f>
        <v/>
      </c>
      <c r="K85" s="15" t="str">
        <f aca="false">IF(K25="","",IF(K71=D25,0,J85-(G25-K25)))</f>
        <v/>
      </c>
      <c r="L85" s="15" t="str">
        <f aca="false">IF(L25="","",IF(L71=D25,0,K85-(G25-L25)))</f>
        <v/>
      </c>
      <c r="M85" s="15" t="str">
        <f aca="false">IF(M25="","",IF(M71=D25,0,L85-(G25-M25)))</f>
        <v/>
      </c>
      <c r="N85" s="15" t="str">
        <f aca="false">IF(N25="","",IF(N71=D25,0,M85-(G25-N25)))</f>
        <v/>
      </c>
      <c r="O85" s="15" t="str">
        <f aca="false">IF(O25="","",IF(O71=D25,0,N85-(G25-O25)))</f>
        <v/>
      </c>
      <c r="P85" s="15" t="str">
        <f aca="false">IF(P25="","",IF(P71=D25,0,O85-(G25-P25)))</f>
        <v/>
      </c>
      <c r="Q85" s="15" t="str">
        <f aca="false">IF(Q25="","",IF(Q71=D25,0,P85-(G25-Q25)))</f>
        <v/>
      </c>
      <c r="R85" s="15" t="str">
        <f aca="false">IF(R25="","",IF(R71=D25,0,Q85-(G25-R25)))</f>
        <v/>
      </c>
      <c r="S85" s="15" t="str">
        <f aca="false">IF(S25="","",IF(S71=D25,0,R85-(G25-S25)))</f>
        <v/>
      </c>
      <c r="T85" s="15" t="str">
        <f aca="false">IF(T25="","",IF(T71=D25,0,S85-(G25-T25)))</f>
        <v/>
      </c>
      <c r="U85" s="15" t="str">
        <f aca="false">IF(U25="","",IF(U71=D25,0,T85-(G25-U25)))</f>
        <v/>
      </c>
      <c r="V85" s="15" t="str">
        <f aca="false">IF(V25="","",IF(V71=D25,0,U85-(G25-V25)))</f>
        <v/>
      </c>
      <c r="W85" s="15" t="str">
        <f aca="false">IF(W25="","",IF(W71=D25,0,V85-(G25-W25)))</f>
        <v/>
      </c>
      <c r="X85" s="15" t="str">
        <f aca="false">IF(X25="","",IF(X71=D25,0,W85-(G25-X25)))</f>
        <v/>
      </c>
      <c r="Y85" s="15" t="str">
        <f aca="false">IF(Y25="","",IF(Y71=D25,0,X85-(G25-Y25)))</f>
        <v/>
      </c>
      <c r="Z85" s="15" t="str">
        <f aca="false">IF(Z25="","",IF(Z71=D25,0,Y85-(G25-Z25)))</f>
        <v/>
      </c>
      <c r="AA85" s="15" t="str">
        <f aca="false">IF(AA25="","",IF(AA71=D25,0,Z85-(G25-AA25)))</f>
        <v/>
      </c>
      <c r="AB85" s="15" t="str">
        <f aca="false">IF(AB25="","",IF(AB71=D25,0,AA85-(G25-AB25)))</f>
        <v/>
      </c>
      <c r="AC85" s="15" t="str">
        <f aca="false">IF(AC25="","",IF(AC71=D25,0,AB85-(G25-AC25)))</f>
        <v/>
      </c>
      <c r="AD85" s="15" t="str">
        <f aca="false">IF(AD25="","",IF(AD71=D25,0,AC85-(G25-AD25)))</f>
        <v/>
      </c>
      <c r="AE85" s="15" t="str">
        <f aca="false">IF(AE25="","",IF(AE71=D25,0,AD85-(G25-AE25)))</f>
        <v/>
      </c>
      <c r="AF85" s="15" t="str">
        <f aca="false">IF(AF25="","",IF(AF71=D25,0,AE85-(G25-AF25)))</f>
        <v/>
      </c>
      <c r="AG85" s="15" t="str">
        <f aca="false">IF(AG25="","",IF(AG71=D25,0,AF85-(G25-AG25)))</f>
        <v/>
      </c>
      <c r="AH85" s="15" t="str">
        <f aca="false">IF(AH25="","",IF(AH71=D25,0,AG85-(G25-AH25)))</f>
        <v/>
      </c>
      <c r="AI85" s="15" t="str">
        <f aca="false">IF(AI25="","",IF(AI71=D25,0,AH85-(G25-AI25)))</f>
        <v/>
      </c>
      <c r="AJ85" s="15" t="str">
        <f aca="false">IF(AJ25="","",IF(AJ71=D25,0,AI85-(G25-AJ25)))</f>
        <v/>
      </c>
      <c r="AK85" s="15" t="str">
        <f aca="false">IF(AK25="","",IF(AK71=D25,0,AJ85-(G25-AK25)))</f>
        <v/>
      </c>
      <c r="AL85" s="15" t="str">
        <f aca="false">IF(AL25="","",IF(AL71=D25,0,AK85-(G25-AL25)))</f>
        <v/>
      </c>
      <c r="AM85" s="15" t="str">
        <f aca="false">IF(AM25="","",IF(AM71=D25,0,AL85-(G25-AM25)))</f>
        <v/>
      </c>
      <c r="AN85" s="15" t="str">
        <f aca="false">IF(AN25="","",IF(AN71=D25,0,AM85-(G25-AN25)))</f>
        <v/>
      </c>
      <c r="AO85" s="15" t="str">
        <f aca="false">IF(AO25="","",IF(AO71=D25,0,AN85-(G25-AO25)))</f>
        <v/>
      </c>
      <c r="AP85" s="15" t="str">
        <f aca="false">IF(AP25="","",IF(AP71=D25,0,AO85-(G25-AP25)))</f>
        <v/>
      </c>
      <c r="AQ85" s="15" t="str">
        <f aca="false">IF(AQ25="","",IF(AQ71=D25,0,AP85-(G25-AQ25)))</f>
        <v/>
      </c>
      <c r="AR85" s="15" t="str">
        <f aca="false">IF(AR25="","",IF(AR71=D25,0,AQ85-(G25-AR25)))</f>
        <v/>
      </c>
      <c r="AS85" s="15" t="str">
        <f aca="false">IF(AS25="","",IF(AS71=D25,0,AR85-(G25-AS25)))</f>
        <v/>
      </c>
      <c r="AT85" s="15" t="str">
        <f aca="false">IF(AT25="","",IF(AT71=D25,0,AS85-(G25-AT25)))</f>
        <v/>
      </c>
      <c r="AU85" s="15" t="str">
        <f aca="false">IF(AU25="","",IF(AU71=D25,0,AT85-(G25-AU25)))</f>
        <v/>
      </c>
      <c r="AV85" s="15" t="str">
        <f aca="false">IF(AV25="","",IF(AV71=D25,0,AU85-(G25-AV25)))</f>
        <v/>
      </c>
      <c r="AW85" s="15" t="str">
        <f aca="false">IF(AW25="","",IF(AW71=D25,0,AV85-(G25-AW25)))</f>
        <v/>
      </c>
      <c r="AX85" s="15" t="str">
        <f aca="false">IF(AX25="","",IF(AX71=D25,0,AW85-(G25-AX25)))</f>
        <v/>
      </c>
      <c r="AY85" s="15" t="str">
        <f aca="false">IF(AY25="","",IF(AY71=D25,0,AX85-(G25-AY25)))</f>
        <v/>
      </c>
      <c r="AZ85" s="15" t="str">
        <f aca="false">IF(AZ25="","",IF(AZ71=D25,0,AY85-(G25-AZ25)))</f>
        <v/>
      </c>
      <c r="BA85" s="15" t="str">
        <f aca="false">IF(BA25="","",IF(BA71=D25,0,AZ85-(G25-BA25)))</f>
        <v/>
      </c>
      <c r="BB85" s="15" t="str">
        <f aca="false">IF(BB25="","",IF(BB71=D25,0,BA85-(G25-BB25)))</f>
        <v/>
      </c>
      <c r="BC85" s="15" t="str">
        <f aca="false">IF(BC25="","",IF(BC71=D25,0,BB85-(G25-BC25)))</f>
        <v/>
      </c>
      <c r="BD85" s="15" t="str">
        <f aca="false">IF(BD25="","",IF(BD71=D25,0,BC85-(G25-BD25)))</f>
        <v/>
      </c>
      <c r="BE85" s="15" t="str">
        <f aca="false">IF(BE25="","",IF(BE71=D25,0,BD85-(G25-BE25)))</f>
        <v/>
      </c>
      <c r="BF85" s="15" t="str">
        <f aca="false">IF(BF25="","",IF(BF71=D25,0,BE85-(G25-BF25)))</f>
        <v/>
      </c>
      <c r="BG85" s="15" t="str">
        <f aca="false">IF(BG25="","",IF(BG71=D25,0,BF85-(G25-BG25)))</f>
        <v/>
      </c>
      <c r="BH85" s="15" t="str">
        <f aca="false">IF(BH25="","",IF(BH71=D25,0,BG85-(G25-BH25)))</f>
        <v/>
      </c>
      <c r="BI85" s="15" t="str">
        <f aca="false">IF(BI25="","",IF(BI71=D25,0,BH85-(G25-BI25)))</f>
        <v/>
      </c>
      <c r="BJ85" s="15" t="str">
        <f aca="false">IF(BJ25="","",IF(BJ71=D25,0,BI85-(G25-BJ25)))</f>
        <v/>
      </c>
      <c r="BK85" s="15" t="str">
        <f aca="false">IF(BK25="","",IF(BK71=D25,0,BJ85-(G25-BK25)))</f>
        <v/>
      </c>
      <c r="BL85" s="15" t="str">
        <f aca="false">IF(BL25="","",IF(BL71=D25,0,BK85-(G25-BL25)))</f>
        <v/>
      </c>
      <c r="BM85" s="15" t="str">
        <f aca="false">IF(BM25="","",IF(BM71=D25,0,BL85-(G25-BM25)))</f>
        <v/>
      </c>
      <c r="BN85" s="15" t="str">
        <f aca="false">IF(BN25="","",IF(BN71=D25,0,BM85-(G25-BN25)))</f>
        <v/>
      </c>
      <c r="BO85" s="15" t="str">
        <f aca="false">IF(BO25="","",IF(BO71=D25,0,BN85-(G25-BO25)))</f>
        <v/>
      </c>
      <c r="BP85" s="15" t="str">
        <f aca="false">IF(BP25="","",IF(BP71=D25,0,BO85-(G25-BP25)))</f>
        <v/>
      </c>
    </row>
    <row r="86" customFormat="false" ht="15" hidden="false" customHeight="false" outlineLevel="0" collapsed="false">
      <c r="A86" s="29" t="str">
        <f aca="false">A26</f>
        <v/>
      </c>
      <c r="B86" s="29" t="str">
        <f aca="false">B26</f>
        <v/>
      </c>
      <c r="C86" s="29" t="str">
        <f aca="false">C26</f>
        <v/>
      </c>
      <c r="D86" s="16" t="str">
        <f aca="false">D26</f>
        <v/>
      </c>
      <c r="E86" s="17" t="str">
        <f aca="false">E26</f>
        <v/>
      </c>
      <c r="F86" s="15" t="str">
        <f aca="false">F26</f>
        <v/>
      </c>
      <c r="G86" s="15" t="str">
        <f aca="false">G26</f>
        <v/>
      </c>
      <c r="I86" s="15" t="str">
        <f aca="false">IF(I26="","",IF(I71=D26,0,F26-(G26-I26)))</f>
        <v/>
      </c>
      <c r="J86" s="15" t="str">
        <f aca="false">IF(J26="","",IF(J71=D26,0,I86-(G26-J26)))</f>
        <v/>
      </c>
      <c r="K86" s="15" t="str">
        <f aca="false">IF(K26="","",IF(K71=D26,0,J86-(G26-K26)))</f>
        <v/>
      </c>
      <c r="L86" s="15" t="str">
        <f aca="false">IF(L26="","",IF(L71=D26,0,K86-(G26-L26)))</f>
        <v/>
      </c>
      <c r="M86" s="15" t="str">
        <f aca="false">IF(M26="","",IF(M71=D26,0,L86-(G26-M26)))</f>
        <v/>
      </c>
      <c r="N86" s="15" t="str">
        <f aca="false">IF(N26="","",IF(N71=D26,0,M86-(G26-N26)))</f>
        <v/>
      </c>
      <c r="O86" s="15" t="str">
        <f aca="false">IF(O26="","",IF(O71=D26,0,N86-(G26-O26)))</f>
        <v/>
      </c>
      <c r="P86" s="15" t="str">
        <f aca="false">IF(P26="","",IF(P71=D26,0,O86-(G26-P26)))</f>
        <v/>
      </c>
      <c r="Q86" s="15" t="str">
        <f aca="false">IF(Q26="","",IF(Q71=D26,0,P86-(G26-Q26)))</f>
        <v/>
      </c>
      <c r="R86" s="15" t="str">
        <f aca="false">IF(R26="","",IF(R71=D26,0,Q86-(G26-R26)))</f>
        <v/>
      </c>
      <c r="S86" s="15" t="str">
        <f aca="false">IF(S26="","",IF(S71=D26,0,R86-(G26-S26)))</f>
        <v/>
      </c>
      <c r="T86" s="15" t="str">
        <f aca="false">IF(T26="","",IF(T71=D26,0,S86-(G26-T26)))</f>
        <v/>
      </c>
      <c r="U86" s="15" t="str">
        <f aca="false">IF(U26="","",IF(U71=D26,0,T86-(G26-U26)))</f>
        <v/>
      </c>
      <c r="V86" s="15" t="str">
        <f aca="false">IF(V26="","",IF(V71=D26,0,U86-(G26-V26)))</f>
        <v/>
      </c>
      <c r="W86" s="15" t="str">
        <f aca="false">IF(W26="","",IF(W71=D26,0,V86-(G26-W26)))</f>
        <v/>
      </c>
      <c r="X86" s="15" t="str">
        <f aca="false">IF(X26="","",IF(X71=D26,0,W86-(G26-X26)))</f>
        <v/>
      </c>
      <c r="Y86" s="15" t="str">
        <f aca="false">IF(Y26="","",IF(Y71=D26,0,X86-(G26-Y26)))</f>
        <v/>
      </c>
      <c r="Z86" s="15" t="str">
        <f aca="false">IF(Z26="","",IF(Z71=D26,0,Y86-(G26-Z26)))</f>
        <v/>
      </c>
      <c r="AA86" s="15" t="str">
        <f aca="false">IF(AA26="","",IF(AA71=D26,0,Z86-(G26-AA26)))</f>
        <v/>
      </c>
      <c r="AB86" s="15" t="str">
        <f aca="false">IF(AB26="","",IF(AB71=D26,0,AA86-(G26-AB26)))</f>
        <v/>
      </c>
      <c r="AC86" s="15" t="str">
        <f aca="false">IF(AC26="","",IF(AC71=D26,0,AB86-(G26-AC26)))</f>
        <v/>
      </c>
      <c r="AD86" s="15" t="str">
        <f aca="false">IF(AD26="","",IF(AD71=D26,0,AC86-(G26-AD26)))</f>
        <v/>
      </c>
      <c r="AE86" s="15" t="str">
        <f aca="false">IF(AE26="","",IF(AE71=D26,0,AD86-(G26-AE26)))</f>
        <v/>
      </c>
      <c r="AF86" s="15" t="str">
        <f aca="false">IF(AF26="","",IF(AF71=D26,0,AE86-(G26-AF26)))</f>
        <v/>
      </c>
      <c r="AG86" s="15" t="str">
        <f aca="false">IF(AG26="","",IF(AG71=D26,0,AF86-(G26-AG26)))</f>
        <v/>
      </c>
      <c r="AH86" s="15" t="str">
        <f aca="false">IF(AH26="","",IF(AH71=D26,0,AG86-(G26-AH26)))</f>
        <v/>
      </c>
      <c r="AI86" s="15" t="str">
        <f aca="false">IF(AI26="","",IF(AI71=D26,0,AH86-(G26-AI26)))</f>
        <v/>
      </c>
      <c r="AJ86" s="15" t="str">
        <f aca="false">IF(AJ26="","",IF(AJ71=D26,0,AI86-(G26-AJ26)))</f>
        <v/>
      </c>
      <c r="AK86" s="15" t="str">
        <f aca="false">IF(AK26="","",IF(AK71=D26,0,AJ86-(G26-AK26)))</f>
        <v/>
      </c>
      <c r="AL86" s="15" t="str">
        <f aca="false">IF(AL26="","",IF(AL71=D26,0,AK86-(G26-AL26)))</f>
        <v/>
      </c>
      <c r="AM86" s="15" t="str">
        <f aca="false">IF(AM26="","",IF(AM71=D26,0,AL86-(G26-AM26)))</f>
        <v/>
      </c>
      <c r="AN86" s="15" t="str">
        <f aca="false">IF(AN26="","",IF(AN71=D26,0,AM86-(G26-AN26)))</f>
        <v/>
      </c>
      <c r="AO86" s="15" t="str">
        <f aca="false">IF(AO26="","",IF(AO71=D26,0,AN86-(G26-AO26)))</f>
        <v/>
      </c>
      <c r="AP86" s="15" t="str">
        <f aca="false">IF(AP26="","",IF(AP71=D26,0,AO86-(G26-AP26)))</f>
        <v/>
      </c>
      <c r="AQ86" s="15" t="str">
        <f aca="false">IF(AQ26="","",IF(AQ71=D26,0,AP86-(G26-AQ26)))</f>
        <v/>
      </c>
      <c r="AR86" s="15" t="str">
        <f aca="false">IF(AR26="","",IF(AR71=D26,0,AQ86-(G26-AR26)))</f>
        <v/>
      </c>
      <c r="AS86" s="15" t="str">
        <f aca="false">IF(AS26="","",IF(AS71=D26,0,AR86-(G26-AS26)))</f>
        <v/>
      </c>
      <c r="AT86" s="15" t="str">
        <f aca="false">IF(AT26="","",IF(AT71=D26,0,AS86-(G26-AT26)))</f>
        <v/>
      </c>
      <c r="AU86" s="15" t="str">
        <f aca="false">IF(AU26="","",IF(AU71=D26,0,AT86-(G26-AU26)))</f>
        <v/>
      </c>
      <c r="AV86" s="15" t="str">
        <f aca="false">IF(AV26="","",IF(AV71=D26,0,AU86-(G26-AV26)))</f>
        <v/>
      </c>
      <c r="AW86" s="15" t="str">
        <f aca="false">IF(AW26="","",IF(AW71=D26,0,AV86-(G26-AW26)))</f>
        <v/>
      </c>
      <c r="AX86" s="15" t="str">
        <f aca="false">IF(AX26="","",IF(AX71=D26,0,AW86-(G26-AX26)))</f>
        <v/>
      </c>
      <c r="AY86" s="15" t="str">
        <f aca="false">IF(AY26="","",IF(AY71=D26,0,AX86-(G26-AY26)))</f>
        <v/>
      </c>
      <c r="AZ86" s="15" t="str">
        <f aca="false">IF(AZ26="","",IF(AZ71=D26,0,AY86-(G26-AZ26)))</f>
        <v/>
      </c>
      <c r="BA86" s="15" t="str">
        <f aca="false">IF(BA26="","",IF(BA71=D26,0,AZ86-(G26-BA26)))</f>
        <v/>
      </c>
      <c r="BB86" s="15" t="str">
        <f aca="false">IF(BB26="","",IF(BB71=D26,0,BA86-(G26-BB26)))</f>
        <v/>
      </c>
      <c r="BC86" s="15" t="str">
        <f aca="false">IF(BC26="","",IF(BC71=D26,0,BB86-(G26-BC26)))</f>
        <v/>
      </c>
      <c r="BD86" s="15" t="str">
        <f aca="false">IF(BD26="","",IF(BD71=D26,0,BC86-(G26-BD26)))</f>
        <v/>
      </c>
      <c r="BE86" s="15" t="str">
        <f aca="false">IF(BE26="","",IF(BE71=D26,0,BD86-(G26-BE26)))</f>
        <v/>
      </c>
      <c r="BF86" s="15" t="str">
        <f aca="false">IF(BF26="","",IF(BF71=D26,0,BE86-(G26-BF26)))</f>
        <v/>
      </c>
      <c r="BG86" s="15" t="str">
        <f aca="false">IF(BG26="","",IF(BG71=D26,0,BF86-(G26-BG26)))</f>
        <v/>
      </c>
      <c r="BH86" s="15" t="str">
        <f aca="false">IF(BH26="","",IF(BH71=D26,0,BG86-(G26-BH26)))</f>
        <v/>
      </c>
      <c r="BI86" s="15" t="str">
        <f aca="false">IF(BI26="","",IF(BI71=D26,0,BH86-(G26-BI26)))</f>
        <v/>
      </c>
      <c r="BJ86" s="15" t="str">
        <f aca="false">IF(BJ26="","",IF(BJ71=D26,0,BI86-(G26-BJ26)))</f>
        <v/>
      </c>
      <c r="BK86" s="15" t="str">
        <f aca="false">IF(BK26="","",IF(BK71=D26,0,BJ86-(G26-BK26)))</f>
        <v/>
      </c>
      <c r="BL86" s="15" t="str">
        <f aca="false">IF(BL26="","",IF(BL71=D26,0,BK86-(G26-BL26)))</f>
        <v/>
      </c>
      <c r="BM86" s="15" t="str">
        <f aca="false">IF(BM26="","",IF(BM71=D26,0,BL86-(G26-BM26)))</f>
        <v/>
      </c>
      <c r="BN86" s="15" t="str">
        <f aca="false">IF(BN26="","",IF(BN71=D26,0,BM86-(G26-BN26)))</f>
        <v/>
      </c>
      <c r="BO86" s="15" t="str">
        <f aca="false">IF(BO26="","",IF(BO71=D26,0,BN86-(G26-BO26)))</f>
        <v/>
      </c>
      <c r="BP86" s="15" t="str">
        <f aca="false">IF(BP26="","",IF(BP71=D26,0,BO86-(G26-BP26)))</f>
        <v/>
      </c>
    </row>
    <row r="87" customFormat="false" ht="15" hidden="false" customHeight="false" outlineLevel="0" collapsed="false">
      <c r="A87" s="29" t="str">
        <f aca="false">A27</f>
        <v/>
      </c>
      <c r="B87" s="29" t="str">
        <f aca="false">B27</f>
        <v/>
      </c>
      <c r="C87" s="29" t="str">
        <f aca="false">C27</f>
        <v/>
      </c>
      <c r="D87" s="16" t="str">
        <f aca="false">D27</f>
        <v/>
      </c>
      <c r="E87" s="17" t="str">
        <f aca="false">E27</f>
        <v/>
      </c>
      <c r="F87" s="15" t="str">
        <f aca="false">F27</f>
        <v/>
      </c>
      <c r="G87" s="15" t="str">
        <f aca="false">G27</f>
        <v/>
      </c>
      <c r="I87" s="15" t="str">
        <f aca="false">IF(I27="","",IF(I71=D27,0,F27-(G27-I27)))</f>
        <v/>
      </c>
      <c r="J87" s="15" t="str">
        <f aca="false">IF(J27="","",IF(J71=D27,0,I87-(G27-J27)))</f>
        <v/>
      </c>
      <c r="K87" s="15" t="str">
        <f aca="false">IF(K27="","",IF(K71=D27,0,J87-(G27-K27)))</f>
        <v/>
      </c>
      <c r="L87" s="15" t="str">
        <f aca="false">IF(L27="","",IF(L71=D27,0,K87-(G27-L27)))</f>
        <v/>
      </c>
      <c r="M87" s="15" t="str">
        <f aca="false">IF(M27="","",IF(M71=D27,0,L87-(G27-M27)))</f>
        <v/>
      </c>
      <c r="N87" s="15" t="str">
        <f aca="false">IF(N27="","",IF(N71=D27,0,M87-(G27-N27)))</f>
        <v/>
      </c>
      <c r="O87" s="15" t="str">
        <f aca="false">IF(O27="","",IF(O71=D27,0,N87-(G27-O27)))</f>
        <v/>
      </c>
      <c r="P87" s="15" t="str">
        <f aca="false">IF(P27="","",IF(P71=D27,0,O87-(G27-P27)))</f>
        <v/>
      </c>
      <c r="Q87" s="15" t="str">
        <f aca="false">IF(Q27="","",IF(Q71=D27,0,P87-(G27-Q27)))</f>
        <v/>
      </c>
      <c r="R87" s="15" t="str">
        <f aca="false">IF(R27="","",IF(R71=D27,0,Q87-(G27-R27)))</f>
        <v/>
      </c>
      <c r="S87" s="15" t="str">
        <f aca="false">IF(S27="","",IF(S71=D27,0,R87-(G27-S27)))</f>
        <v/>
      </c>
      <c r="T87" s="15" t="str">
        <f aca="false">IF(T27="","",IF(T71=D27,0,S87-(G27-T27)))</f>
        <v/>
      </c>
      <c r="U87" s="15" t="str">
        <f aca="false">IF(U27="","",IF(U71=D27,0,T87-(G27-U27)))</f>
        <v/>
      </c>
      <c r="V87" s="15" t="str">
        <f aca="false">IF(V27="","",IF(V71=D27,0,U87-(G27-V27)))</f>
        <v/>
      </c>
      <c r="W87" s="15" t="str">
        <f aca="false">IF(W27="","",IF(W71=D27,0,V87-(G27-W27)))</f>
        <v/>
      </c>
      <c r="X87" s="15" t="str">
        <f aca="false">IF(X27="","",IF(X71=D27,0,W87-(G27-X27)))</f>
        <v/>
      </c>
      <c r="Y87" s="15" t="str">
        <f aca="false">IF(Y27="","",IF(Y71=D27,0,X87-(G27-Y27)))</f>
        <v/>
      </c>
      <c r="Z87" s="15" t="str">
        <f aca="false">IF(Z27="","",IF(Z71=D27,0,Y87-(G27-Z27)))</f>
        <v/>
      </c>
      <c r="AA87" s="15" t="str">
        <f aca="false">IF(AA27="","",IF(AA71=D27,0,Z87-(G27-AA27)))</f>
        <v/>
      </c>
      <c r="AB87" s="15" t="str">
        <f aca="false">IF(AB27="","",IF(AB71=D27,0,AA87-(G27-AB27)))</f>
        <v/>
      </c>
      <c r="AC87" s="15" t="str">
        <f aca="false">IF(AC27="","",IF(AC71=D27,0,AB87-(G27-AC27)))</f>
        <v/>
      </c>
      <c r="AD87" s="15" t="str">
        <f aca="false">IF(AD27="","",IF(AD71=D27,0,AC87-(G27-AD27)))</f>
        <v/>
      </c>
      <c r="AE87" s="15" t="str">
        <f aca="false">IF(AE27="","",IF(AE71=D27,0,AD87-(G27-AE27)))</f>
        <v/>
      </c>
      <c r="AF87" s="15" t="str">
        <f aca="false">IF(AF27="","",IF(AF71=D27,0,AE87-(G27-AF27)))</f>
        <v/>
      </c>
      <c r="AG87" s="15" t="str">
        <f aca="false">IF(AG27="","",IF(AG71=D27,0,AF87-(G27-AG27)))</f>
        <v/>
      </c>
      <c r="AH87" s="15" t="str">
        <f aca="false">IF(AH27="","",IF(AH71=D27,0,AG87-(G27-AH27)))</f>
        <v/>
      </c>
      <c r="AI87" s="15" t="str">
        <f aca="false">IF(AI27="","",IF(AI71=D27,0,AH87-(G27-AI27)))</f>
        <v/>
      </c>
      <c r="AJ87" s="15" t="str">
        <f aca="false">IF(AJ27="","",IF(AJ71=D27,0,AI87-(G27-AJ27)))</f>
        <v/>
      </c>
      <c r="AK87" s="15" t="str">
        <f aca="false">IF(AK27="","",IF(AK71=D27,0,AJ87-(G27-AK27)))</f>
        <v/>
      </c>
      <c r="AL87" s="15" t="str">
        <f aca="false">IF(AL27="","",IF(AL71=D27,0,AK87-(G27-AL27)))</f>
        <v/>
      </c>
      <c r="AM87" s="15" t="str">
        <f aca="false">IF(AM27="","",IF(AM71=D27,0,AL87-(G27-AM27)))</f>
        <v/>
      </c>
      <c r="AN87" s="15" t="str">
        <f aca="false">IF(AN27="","",IF(AN71=D27,0,AM87-(G27-AN27)))</f>
        <v/>
      </c>
      <c r="AO87" s="15" t="str">
        <f aca="false">IF(AO27="","",IF(AO71=D27,0,AN87-(G27-AO27)))</f>
        <v/>
      </c>
      <c r="AP87" s="15" t="str">
        <f aca="false">IF(AP27="","",IF(AP71=D27,0,AO87-(G27-AP27)))</f>
        <v/>
      </c>
      <c r="AQ87" s="15" t="str">
        <f aca="false">IF(AQ27="","",IF(AQ71=D27,0,AP87-(G27-AQ27)))</f>
        <v/>
      </c>
      <c r="AR87" s="15" t="str">
        <f aca="false">IF(AR27="","",IF(AR71=D27,0,AQ87-(G27-AR27)))</f>
        <v/>
      </c>
      <c r="AS87" s="15" t="str">
        <f aca="false">IF(AS27="","",IF(AS71=D27,0,AR87-(G27-AS27)))</f>
        <v/>
      </c>
      <c r="AT87" s="15" t="str">
        <f aca="false">IF(AT27="","",IF(AT71=D27,0,AS87-(G27-AT27)))</f>
        <v/>
      </c>
      <c r="AU87" s="15" t="str">
        <f aca="false">IF(AU27="","",IF(AU71=D27,0,AT87-(G27-AU27)))</f>
        <v/>
      </c>
      <c r="AV87" s="15" t="str">
        <f aca="false">IF(AV27="","",IF(AV71=D27,0,AU87-(G27-AV27)))</f>
        <v/>
      </c>
      <c r="AW87" s="15" t="str">
        <f aca="false">IF(AW27="","",IF(AW71=D27,0,AV87-(G27-AW27)))</f>
        <v/>
      </c>
      <c r="AX87" s="15" t="str">
        <f aca="false">IF(AX27="","",IF(AX71=D27,0,AW87-(G27-AX27)))</f>
        <v/>
      </c>
      <c r="AY87" s="15" t="str">
        <f aca="false">IF(AY27="","",IF(AY71=D27,0,AX87-(G27-AY27)))</f>
        <v/>
      </c>
      <c r="AZ87" s="15" t="str">
        <f aca="false">IF(AZ27="","",IF(AZ71=D27,0,AY87-(G27-AZ27)))</f>
        <v/>
      </c>
      <c r="BA87" s="15" t="str">
        <f aca="false">IF(BA27="","",IF(BA71=D27,0,AZ87-(G27-BA27)))</f>
        <v/>
      </c>
      <c r="BB87" s="15" t="str">
        <f aca="false">IF(BB27="","",IF(BB71=D27,0,BA87-(G27-BB27)))</f>
        <v/>
      </c>
      <c r="BC87" s="15" t="str">
        <f aca="false">IF(BC27="","",IF(BC71=D27,0,BB87-(G27-BC27)))</f>
        <v/>
      </c>
      <c r="BD87" s="15" t="str">
        <f aca="false">IF(BD27="","",IF(BD71=D27,0,BC87-(G27-BD27)))</f>
        <v/>
      </c>
      <c r="BE87" s="15" t="str">
        <f aca="false">IF(BE27="","",IF(BE71=D27,0,BD87-(G27-BE27)))</f>
        <v/>
      </c>
      <c r="BF87" s="15" t="str">
        <f aca="false">IF(BF27="","",IF(BF71=D27,0,BE87-(G27-BF27)))</f>
        <v/>
      </c>
      <c r="BG87" s="15" t="str">
        <f aca="false">IF(BG27="","",IF(BG71=D27,0,BF87-(G27-BG27)))</f>
        <v/>
      </c>
      <c r="BH87" s="15" t="str">
        <f aca="false">IF(BH27="","",IF(BH71=D27,0,BG87-(G27-BH27)))</f>
        <v/>
      </c>
      <c r="BI87" s="15" t="str">
        <f aca="false">IF(BI27="","",IF(BI71=D27,0,BH87-(G27-BI27)))</f>
        <v/>
      </c>
      <c r="BJ87" s="15" t="str">
        <f aca="false">IF(BJ27="","",IF(BJ71=D27,0,BI87-(G27-BJ27)))</f>
        <v/>
      </c>
      <c r="BK87" s="15" t="str">
        <f aca="false">IF(BK27="","",IF(BK71=D27,0,BJ87-(G27-BK27)))</f>
        <v/>
      </c>
      <c r="BL87" s="15" t="str">
        <f aca="false">IF(BL27="","",IF(BL71=D27,0,BK87-(G27-BL27)))</f>
        <v/>
      </c>
      <c r="BM87" s="15" t="str">
        <f aca="false">IF(BM27="","",IF(BM71=D27,0,BL87-(G27-BM27)))</f>
        <v/>
      </c>
      <c r="BN87" s="15" t="str">
        <f aca="false">IF(BN27="","",IF(BN71=D27,0,BM87-(G27-BN27)))</f>
        <v/>
      </c>
      <c r="BO87" s="15" t="str">
        <f aca="false">IF(BO27="","",IF(BO71=D27,0,BN87-(G27-BO27)))</f>
        <v/>
      </c>
      <c r="BP87" s="15" t="str">
        <f aca="false">IF(BP27="","",IF(BP71=D27,0,BO87-(G27-BP27)))</f>
        <v/>
      </c>
    </row>
    <row r="88" customFormat="false" ht="15" hidden="false" customHeight="false" outlineLevel="0" collapsed="false">
      <c r="A88" s="29" t="str">
        <f aca="false">A28</f>
        <v/>
      </c>
      <c r="B88" s="29" t="str">
        <f aca="false">B28</f>
        <v/>
      </c>
      <c r="C88" s="29" t="str">
        <f aca="false">C28</f>
        <v/>
      </c>
      <c r="D88" s="16" t="str">
        <f aca="false">D28</f>
        <v/>
      </c>
      <c r="E88" s="17" t="str">
        <f aca="false">E28</f>
        <v/>
      </c>
      <c r="F88" s="15" t="str">
        <f aca="false">F28</f>
        <v/>
      </c>
      <c r="G88" s="15" t="str">
        <f aca="false">G28</f>
        <v/>
      </c>
      <c r="I88" s="15" t="str">
        <f aca="false">IF(I28="","",IF(I71=D28,0,F28-(G28-I28)))</f>
        <v/>
      </c>
      <c r="J88" s="15" t="str">
        <f aca="false">IF(J28="","",IF(J71=D28,0,I88-(G28-J28)))</f>
        <v/>
      </c>
      <c r="K88" s="15" t="str">
        <f aca="false">IF(K28="","",IF(K71=D28,0,J88-(G28-K28)))</f>
        <v/>
      </c>
      <c r="L88" s="15" t="str">
        <f aca="false">IF(L28="","",IF(L71=D28,0,K88-(G28-L28)))</f>
        <v/>
      </c>
      <c r="M88" s="15" t="str">
        <f aca="false">IF(M28="","",IF(M71=D28,0,L88-(G28-M28)))</f>
        <v/>
      </c>
      <c r="N88" s="15" t="str">
        <f aca="false">IF(N28="","",IF(N71=D28,0,M88-(G28-N28)))</f>
        <v/>
      </c>
      <c r="O88" s="15" t="str">
        <f aca="false">IF(O28="","",IF(O71=D28,0,N88-(G28-O28)))</f>
        <v/>
      </c>
      <c r="P88" s="15" t="str">
        <f aca="false">IF(P28="","",IF(P71=D28,0,O88-(G28-P28)))</f>
        <v/>
      </c>
      <c r="Q88" s="15" t="str">
        <f aca="false">IF(Q28="","",IF(Q71=D28,0,P88-(G28-Q28)))</f>
        <v/>
      </c>
      <c r="R88" s="15" t="str">
        <f aca="false">IF(R28="","",IF(R71=D28,0,Q88-(G28-R28)))</f>
        <v/>
      </c>
      <c r="S88" s="15" t="str">
        <f aca="false">IF(S28="","",IF(S71=D28,0,R88-(G28-S28)))</f>
        <v/>
      </c>
      <c r="T88" s="15" t="str">
        <f aca="false">IF(T28="","",IF(T71=D28,0,S88-(G28-T28)))</f>
        <v/>
      </c>
      <c r="U88" s="15" t="str">
        <f aca="false">IF(U28="","",IF(U71=D28,0,T88-(G28-U28)))</f>
        <v/>
      </c>
      <c r="V88" s="15" t="str">
        <f aca="false">IF(V28="","",IF(V71=D28,0,U88-(G28-V28)))</f>
        <v/>
      </c>
      <c r="W88" s="15" t="str">
        <f aca="false">IF(W28="","",IF(W71=D28,0,V88-(G28-W28)))</f>
        <v/>
      </c>
      <c r="X88" s="15" t="str">
        <f aca="false">IF(X28="","",IF(X71=D28,0,W88-(G28-X28)))</f>
        <v/>
      </c>
      <c r="Y88" s="15" t="str">
        <f aca="false">IF(Y28="","",IF(Y71=D28,0,X88-(G28-Y28)))</f>
        <v/>
      </c>
      <c r="Z88" s="15" t="str">
        <f aca="false">IF(Z28="","",IF(Z71=D28,0,Y88-(G28-Z28)))</f>
        <v/>
      </c>
      <c r="AA88" s="15" t="str">
        <f aca="false">IF(AA28="","",IF(AA71=D28,0,Z88-(G28-AA28)))</f>
        <v/>
      </c>
      <c r="AB88" s="15" t="str">
        <f aca="false">IF(AB28="","",IF(AB71=D28,0,AA88-(G28-AB28)))</f>
        <v/>
      </c>
      <c r="AC88" s="15" t="str">
        <f aca="false">IF(AC28="","",IF(AC71=D28,0,AB88-(G28-AC28)))</f>
        <v/>
      </c>
      <c r="AD88" s="15" t="str">
        <f aca="false">IF(AD28="","",IF(AD71=D28,0,AC88-(G28-AD28)))</f>
        <v/>
      </c>
      <c r="AE88" s="15" t="str">
        <f aca="false">IF(AE28="","",IF(AE71=D28,0,AD88-(G28-AE28)))</f>
        <v/>
      </c>
      <c r="AF88" s="15" t="str">
        <f aca="false">IF(AF28="","",IF(AF71=D28,0,AE88-(G28-AF28)))</f>
        <v/>
      </c>
      <c r="AG88" s="15" t="str">
        <f aca="false">IF(AG28="","",IF(AG71=D28,0,AF88-(G28-AG28)))</f>
        <v/>
      </c>
      <c r="AH88" s="15" t="str">
        <f aca="false">IF(AH28="","",IF(AH71=D28,0,AG88-(G28-AH28)))</f>
        <v/>
      </c>
      <c r="AI88" s="15" t="str">
        <f aca="false">IF(AI28="","",IF(AI71=D28,0,AH88-(G28-AI28)))</f>
        <v/>
      </c>
      <c r="AJ88" s="15" t="str">
        <f aca="false">IF(AJ28="","",IF(AJ71=D28,0,AI88-(G28-AJ28)))</f>
        <v/>
      </c>
      <c r="AK88" s="15" t="str">
        <f aca="false">IF(AK28="","",IF(AK71=D28,0,AJ88-(G28-AK28)))</f>
        <v/>
      </c>
      <c r="AL88" s="15" t="str">
        <f aca="false">IF(AL28="","",IF(AL71=D28,0,AK88-(G28-AL28)))</f>
        <v/>
      </c>
      <c r="AM88" s="15" t="str">
        <f aca="false">IF(AM28="","",IF(AM71=D28,0,AL88-(G28-AM28)))</f>
        <v/>
      </c>
      <c r="AN88" s="15" t="str">
        <f aca="false">IF(AN28="","",IF(AN71=D28,0,AM88-(G28-AN28)))</f>
        <v/>
      </c>
      <c r="AO88" s="15" t="str">
        <f aca="false">IF(AO28="","",IF(AO71=D28,0,AN88-(G28-AO28)))</f>
        <v/>
      </c>
      <c r="AP88" s="15" t="str">
        <f aca="false">IF(AP28="","",IF(AP71=D28,0,AO88-(G28-AP28)))</f>
        <v/>
      </c>
      <c r="AQ88" s="15" t="str">
        <f aca="false">IF(AQ28="","",IF(AQ71=D28,0,AP88-(G28-AQ28)))</f>
        <v/>
      </c>
      <c r="AR88" s="15" t="str">
        <f aca="false">IF(AR28="","",IF(AR71=D28,0,AQ88-(G28-AR28)))</f>
        <v/>
      </c>
      <c r="AS88" s="15" t="str">
        <f aca="false">IF(AS28="","",IF(AS71=D28,0,AR88-(G28-AS28)))</f>
        <v/>
      </c>
      <c r="AT88" s="15" t="str">
        <f aca="false">IF(AT28="","",IF(AT71=D28,0,AS88-(G28-AT28)))</f>
        <v/>
      </c>
      <c r="AU88" s="15" t="str">
        <f aca="false">IF(AU28="","",IF(AU71=D28,0,AT88-(G28-AU28)))</f>
        <v/>
      </c>
      <c r="AV88" s="15" t="str">
        <f aca="false">IF(AV28="","",IF(AV71=D28,0,AU88-(G28-AV28)))</f>
        <v/>
      </c>
      <c r="AW88" s="15" t="str">
        <f aca="false">IF(AW28="","",IF(AW71=D28,0,AV88-(G28-AW28)))</f>
        <v/>
      </c>
      <c r="AX88" s="15" t="str">
        <f aca="false">IF(AX28="","",IF(AX71=D28,0,AW88-(G28-AX28)))</f>
        <v/>
      </c>
      <c r="AY88" s="15" t="str">
        <f aca="false">IF(AY28="","",IF(AY71=D28,0,AX88-(G28-AY28)))</f>
        <v/>
      </c>
      <c r="AZ88" s="15" t="str">
        <f aca="false">IF(AZ28="","",IF(AZ71=D28,0,AY88-(G28-AZ28)))</f>
        <v/>
      </c>
      <c r="BA88" s="15" t="str">
        <f aca="false">IF(BA28="","",IF(BA71=D28,0,AZ88-(G28-BA28)))</f>
        <v/>
      </c>
      <c r="BB88" s="15" t="str">
        <f aca="false">IF(BB28="","",IF(BB71=D28,0,BA88-(G28-BB28)))</f>
        <v/>
      </c>
      <c r="BC88" s="15" t="str">
        <f aca="false">IF(BC28="","",IF(BC71=D28,0,BB88-(G28-BC28)))</f>
        <v/>
      </c>
      <c r="BD88" s="15" t="str">
        <f aca="false">IF(BD28="","",IF(BD71=D28,0,BC88-(G28-BD28)))</f>
        <v/>
      </c>
      <c r="BE88" s="15" t="str">
        <f aca="false">IF(BE28="","",IF(BE71=D28,0,BD88-(G28-BE28)))</f>
        <v/>
      </c>
      <c r="BF88" s="15" t="str">
        <f aca="false">IF(BF28="","",IF(BF71=D28,0,BE88-(G28-BF28)))</f>
        <v/>
      </c>
      <c r="BG88" s="15" t="str">
        <f aca="false">IF(BG28="","",IF(BG71=D28,0,BF88-(G28-BG28)))</f>
        <v/>
      </c>
      <c r="BH88" s="15" t="str">
        <f aca="false">IF(BH28="","",IF(BH71=D28,0,BG88-(G28-BH28)))</f>
        <v/>
      </c>
      <c r="BI88" s="15" t="str">
        <f aca="false">IF(BI28="","",IF(BI71=D28,0,BH88-(G28-BI28)))</f>
        <v/>
      </c>
      <c r="BJ88" s="15" t="str">
        <f aca="false">IF(BJ28="","",IF(BJ71=D28,0,BI88-(G28-BJ28)))</f>
        <v/>
      </c>
      <c r="BK88" s="15" t="str">
        <f aca="false">IF(BK28="","",IF(BK71=D28,0,BJ88-(G28-BK28)))</f>
        <v/>
      </c>
      <c r="BL88" s="15" t="str">
        <f aca="false">IF(BL28="","",IF(BL71=D28,0,BK88-(G28-BL28)))</f>
        <v/>
      </c>
      <c r="BM88" s="15" t="str">
        <f aca="false">IF(BM28="","",IF(BM71=D28,0,BL88-(G28-BM28)))</f>
        <v/>
      </c>
      <c r="BN88" s="15" t="str">
        <f aca="false">IF(BN28="","",IF(BN71=D28,0,BM88-(G28-BN28)))</f>
        <v/>
      </c>
      <c r="BO88" s="15" t="str">
        <f aca="false">IF(BO28="","",IF(BO71=D28,0,BN88-(G28-BO28)))</f>
        <v/>
      </c>
      <c r="BP88" s="15" t="str">
        <f aca="false">IF(BP28="","",IF(BP71=D28,0,BO88-(G28-BP28)))</f>
        <v/>
      </c>
    </row>
    <row r="89" customFormat="false" ht="15" hidden="false" customHeight="false" outlineLevel="0" collapsed="false">
      <c r="A89" s="29" t="str">
        <f aca="false">A29</f>
        <v/>
      </c>
      <c r="B89" s="29" t="str">
        <f aca="false">B29</f>
        <v/>
      </c>
      <c r="C89" s="29" t="str">
        <f aca="false">C29</f>
        <v/>
      </c>
      <c r="D89" s="16" t="str">
        <f aca="false">D29</f>
        <v/>
      </c>
      <c r="E89" s="17" t="str">
        <f aca="false">E29</f>
        <v/>
      </c>
      <c r="F89" s="15" t="str">
        <f aca="false">F29</f>
        <v/>
      </c>
      <c r="G89" s="15" t="str">
        <f aca="false">G29</f>
        <v/>
      </c>
      <c r="I89" s="15" t="str">
        <f aca="false">IF(I29="","",IF(I71=D29,0,F29-(G29-I29)))</f>
        <v/>
      </c>
      <c r="J89" s="15" t="str">
        <f aca="false">IF(J29="","",IF(J71=D29,0,I89-(G29-J29)))</f>
        <v/>
      </c>
      <c r="K89" s="15" t="str">
        <f aca="false">IF(K29="","",IF(K71=D29,0,J89-(G29-K29)))</f>
        <v/>
      </c>
      <c r="L89" s="15" t="str">
        <f aca="false">IF(L29="","",IF(L71=D29,0,K89-(G29-L29)))</f>
        <v/>
      </c>
      <c r="M89" s="15" t="str">
        <f aca="false">IF(M29="","",IF(M71=D29,0,L89-(G29-M29)))</f>
        <v/>
      </c>
      <c r="N89" s="15" t="str">
        <f aca="false">IF(N29="","",IF(N71=D29,0,M89-(G29-N29)))</f>
        <v/>
      </c>
      <c r="O89" s="15" t="str">
        <f aca="false">IF(O29="","",IF(O71=D29,0,N89-(G29-O29)))</f>
        <v/>
      </c>
      <c r="P89" s="15" t="str">
        <f aca="false">IF(P29="","",IF(P71=D29,0,O89-(G29-P29)))</f>
        <v/>
      </c>
      <c r="Q89" s="15" t="str">
        <f aca="false">IF(Q29="","",IF(Q71=D29,0,P89-(G29-Q29)))</f>
        <v/>
      </c>
      <c r="R89" s="15" t="str">
        <f aca="false">IF(R29="","",IF(R71=D29,0,Q89-(G29-R29)))</f>
        <v/>
      </c>
      <c r="S89" s="15" t="str">
        <f aca="false">IF(S29="","",IF(S71=D29,0,R89-(G29-S29)))</f>
        <v/>
      </c>
      <c r="T89" s="15" t="str">
        <f aca="false">IF(T29="","",IF(T71=D29,0,S89-(G29-T29)))</f>
        <v/>
      </c>
      <c r="U89" s="15" t="str">
        <f aca="false">IF(U29="","",IF(U71=D29,0,T89-(G29-U29)))</f>
        <v/>
      </c>
      <c r="V89" s="15" t="str">
        <f aca="false">IF(V29="","",IF(V71=D29,0,U89-(G29-V29)))</f>
        <v/>
      </c>
      <c r="W89" s="15" t="str">
        <f aca="false">IF(W29="","",IF(W71=D29,0,V89-(G29-W29)))</f>
        <v/>
      </c>
      <c r="X89" s="15" t="str">
        <f aca="false">IF(X29="","",IF(X71=D29,0,W89-(G29-X29)))</f>
        <v/>
      </c>
      <c r="Y89" s="15" t="str">
        <f aca="false">IF(Y29="","",IF(Y71=D29,0,X89-(G29-Y29)))</f>
        <v/>
      </c>
      <c r="Z89" s="15" t="str">
        <f aca="false">IF(Z29="","",IF(Z71=D29,0,Y89-(G29-Z29)))</f>
        <v/>
      </c>
      <c r="AA89" s="15" t="str">
        <f aca="false">IF(AA29="","",IF(AA71=D29,0,Z89-(G29-AA29)))</f>
        <v/>
      </c>
      <c r="AB89" s="15" t="str">
        <f aca="false">IF(AB29="","",IF(AB71=D29,0,AA89-(G29-AB29)))</f>
        <v/>
      </c>
      <c r="AC89" s="15" t="str">
        <f aca="false">IF(AC29="","",IF(AC71=D29,0,AB89-(G29-AC29)))</f>
        <v/>
      </c>
      <c r="AD89" s="15" t="str">
        <f aca="false">IF(AD29="","",IF(AD71=D29,0,AC89-(G29-AD29)))</f>
        <v/>
      </c>
      <c r="AE89" s="15" t="str">
        <f aca="false">IF(AE29="","",IF(AE71=D29,0,AD89-(G29-AE29)))</f>
        <v/>
      </c>
      <c r="AF89" s="15" t="str">
        <f aca="false">IF(AF29="","",IF(AF71=D29,0,AE89-(G29-AF29)))</f>
        <v/>
      </c>
      <c r="AG89" s="15" t="str">
        <f aca="false">IF(AG29="","",IF(AG71=D29,0,AF89-(G29-AG29)))</f>
        <v/>
      </c>
      <c r="AH89" s="15" t="str">
        <f aca="false">IF(AH29="","",IF(AH71=D29,0,AG89-(G29-AH29)))</f>
        <v/>
      </c>
      <c r="AI89" s="15" t="str">
        <f aca="false">IF(AI29="","",IF(AI71=D29,0,AH89-(G29-AI29)))</f>
        <v/>
      </c>
      <c r="AJ89" s="15" t="str">
        <f aca="false">IF(AJ29="","",IF(AJ71=D29,0,AI89-(G29-AJ29)))</f>
        <v/>
      </c>
      <c r="AK89" s="15" t="str">
        <f aca="false">IF(AK29="","",IF(AK71=D29,0,AJ89-(G29-AK29)))</f>
        <v/>
      </c>
      <c r="AL89" s="15" t="str">
        <f aca="false">IF(AL29="","",IF(AL71=D29,0,AK89-(G29-AL29)))</f>
        <v/>
      </c>
      <c r="AM89" s="15" t="str">
        <f aca="false">IF(AM29="","",IF(AM71=D29,0,AL89-(G29-AM29)))</f>
        <v/>
      </c>
      <c r="AN89" s="15" t="str">
        <f aca="false">IF(AN29="","",IF(AN71=D29,0,AM89-(G29-AN29)))</f>
        <v/>
      </c>
      <c r="AO89" s="15" t="str">
        <f aca="false">IF(AO29="","",IF(AO71=D29,0,AN89-(G29-AO29)))</f>
        <v/>
      </c>
      <c r="AP89" s="15" t="str">
        <f aca="false">IF(AP29="","",IF(AP71=D29,0,AO89-(G29-AP29)))</f>
        <v/>
      </c>
      <c r="AQ89" s="15" t="str">
        <f aca="false">IF(AQ29="","",IF(AQ71=D29,0,AP89-(G29-AQ29)))</f>
        <v/>
      </c>
      <c r="AR89" s="15" t="str">
        <f aca="false">IF(AR29="","",IF(AR71=D29,0,AQ89-(G29-AR29)))</f>
        <v/>
      </c>
      <c r="AS89" s="15" t="str">
        <f aca="false">IF(AS29="","",IF(AS71=D29,0,AR89-(G29-AS29)))</f>
        <v/>
      </c>
      <c r="AT89" s="15" t="str">
        <f aca="false">IF(AT29="","",IF(AT71=D29,0,AS89-(G29-AT29)))</f>
        <v/>
      </c>
      <c r="AU89" s="15" t="str">
        <f aca="false">IF(AU29="","",IF(AU71=D29,0,AT89-(G29-AU29)))</f>
        <v/>
      </c>
      <c r="AV89" s="15" t="str">
        <f aca="false">IF(AV29="","",IF(AV71=D29,0,AU89-(G29-AV29)))</f>
        <v/>
      </c>
      <c r="AW89" s="15" t="str">
        <f aca="false">IF(AW29="","",IF(AW71=D29,0,AV89-(G29-AW29)))</f>
        <v/>
      </c>
      <c r="AX89" s="15" t="str">
        <f aca="false">IF(AX29="","",IF(AX71=D29,0,AW89-(G29-AX29)))</f>
        <v/>
      </c>
      <c r="AY89" s="15" t="str">
        <f aca="false">IF(AY29="","",IF(AY71=D29,0,AX89-(G29-AY29)))</f>
        <v/>
      </c>
      <c r="AZ89" s="15" t="str">
        <f aca="false">IF(AZ29="","",IF(AZ71=D29,0,AY89-(G29-AZ29)))</f>
        <v/>
      </c>
      <c r="BA89" s="15" t="str">
        <f aca="false">IF(BA29="","",IF(BA71=D29,0,AZ89-(G29-BA29)))</f>
        <v/>
      </c>
      <c r="BB89" s="15" t="str">
        <f aca="false">IF(BB29="","",IF(BB71=D29,0,BA89-(G29-BB29)))</f>
        <v/>
      </c>
      <c r="BC89" s="15" t="str">
        <f aca="false">IF(BC29="","",IF(BC71=D29,0,BB89-(G29-BC29)))</f>
        <v/>
      </c>
      <c r="BD89" s="15" t="str">
        <f aca="false">IF(BD29="","",IF(BD71=D29,0,BC89-(G29-BD29)))</f>
        <v/>
      </c>
      <c r="BE89" s="15" t="str">
        <f aca="false">IF(BE29="","",IF(BE71=D29,0,BD89-(G29-BE29)))</f>
        <v/>
      </c>
      <c r="BF89" s="15" t="str">
        <f aca="false">IF(BF29="","",IF(BF71=D29,0,BE89-(G29-BF29)))</f>
        <v/>
      </c>
      <c r="BG89" s="15" t="str">
        <f aca="false">IF(BG29="","",IF(BG71=D29,0,BF89-(G29-BG29)))</f>
        <v/>
      </c>
      <c r="BH89" s="15" t="str">
        <f aca="false">IF(BH29="","",IF(BH71=D29,0,BG89-(G29-BH29)))</f>
        <v/>
      </c>
      <c r="BI89" s="15" t="str">
        <f aca="false">IF(BI29="","",IF(BI71=D29,0,BH89-(G29-BI29)))</f>
        <v/>
      </c>
      <c r="BJ89" s="15" t="str">
        <f aca="false">IF(BJ29="","",IF(BJ71=D29,0,BI89-(G29-BJ29)))</f>
        <v/>
      </c>
      <c r="BK89" s="15" t="str">
        <f aca="false">IF(BK29="","",IF(BK71=D29,0,BJ89-(G29-BK29)))</f>
        <v/>
      </c>
      <c r="BL89" s="15" t="str">
        <f aca="false">IF(BL29="","",IF(BL71=D29,0,BK89-(G29-BL29)))</f>
        <v/>
      </c>
      <c r="BM89" s="15" t="str">
        <f aca="false">IF(BM29="","",IF(BM71=D29,0,BL89-(G29-BM29)))</f>
        <v/>
      </c>
      <c r="BN89" s="15" t="str">
        <f aca="false">IF(BN29="","",IF(BN71=D29,0,BM89-(G29-BN29)))</f>
        <v/>
      </c>
      <c r="BO89" s="15" t="str">
        <f aca="false">IF(BO29="","",IF(BO71=D29,0,BN89-(G29-BO29)))</f>
        <v/>
      </c>
      <c r="BP89" s="15" t="str">
        <f aca="false">IF(BP29="","",IF(BP71=D29,0,BO89-(G29-BP29)))</f>
        <v/>
      </c>
    </row>
    <row r="90" customFormat="false" ht="15" hidden="false" customHeight="false" outlineLevel="0" collapsed="false">
      <c r="A90" s="29" t="str">
        <f aca="false">A30</f>
        <v/>
      </c>
      <c r="B90" s="29" t="str">
        <f aca="false">B30</f>
        <v/>
      </c>
      <c r="C90" s="29" t="str">
        <f aca="false">C30</f>
        <v/>
      </c>
      <c r="D90" s="16" t="str">
        <f aca="false">D30</f>
        <v/>
      </c>
      <c r="E90" s="17" t="str">
        <f aca="false">E30</f>
        <v/>
      </c>
      <c r="F90" s="15" t="str">
        <f aca="false">F30</f>
        <v/>
      </c>
      <c r="G90" s="15" t="str">
        <f aca="false">G30</f>
        <v/>
      </c>
      <c r="I90" s="15" t="str">
        <f aca="false">IF(I30="","",IF(I71=D30,0,F30-(G30-I30)))</f>
        <v/>
      </c>
      <c r="J90" s="15" t="str">
        <f aca="false">IF(J30="","",IF(J71=D30,0,I90-(G30-J30)))</f>
        <v/>
      </c>
      <c r="K90" s="15" t="str">
        <f aca="false">IF(K30="","",IF(K71=D30,0,J90-(G30-K30)))</f>
        <v/>
      </c>
      <c r="L90" s="15" t="str">
        <f aca="false">IF(L30="","",IF(L71=D30,0,K90-(G30-L30)))</f>
        <v/>
      </c>
      <c r="M90" s="15" t="str">
        <f aca="false">IF(M30="","",IF(M71=D30,0,L90-(G30-M30)))</f>
        <v/>
      </c>
      <c r="N90" s="15" t="str">
        <f aca="false">IF(N30="","",IF(N71=D30,0,M90-(G30-N30)))</f>
        <v/>
      </c>
      <c r="O90" s="15" t="str">
        <f aca="false">IF(O30="","",IF(O71=D30,0,N90-(G30-O30)))</f>
        <v/>
      </c>
      <c r="P90" s="15" t="str">
        <f aca="false">IF(P30="","",IF(P71=D30,0,O90-(G30-P30)))</f>
        <v/>
      </c>
      <c r="Q90" s="15" t="str">
        <f aca="false">IF(Q30="","",IF(Q71=D30,0,P90-(G30-Q30)))</f>
        <v/>
      </c>
      <c r="R90" s="15" t="str">
        <f aca="false">IF(R30="","",IF(R71=D30,0,Q90-(G30-R30)))</f>
        <v/>
      </c>
      <c r="S90" s="15" t="str">
        <f aca="false">IF(S30="","",IF(S71=D30,0,R90-(G30-S30)))</f>
        <v/>
      </c>
      <c r="T90" s="15" t="str">
        <f aca="false">IF(T30="","",IF(T71=D30,0,S90-(G30-T30)))</f>
        <v/>
      </c>
      <c r="U90" s="15" t="str">
        <f aca="false">IF(U30="","",IF(U71=D30,0,T90-(G30-U30)))</f>
        <v/>
      </c>
      <c r="V90" s="15" t="str">
        <f aca="false">IF(V30="","",IF(V71=D30,0,U90-(G30-V30)))</f>
        <v/>
      </c>
      <c r="W90" s="15" t="str">
        <f aca="false">IF(W30="","",IF(W71=D30,0,V90-(G30-W30)))</f>
        <v/>
      </c>
      <c r="X90" s="15" t="str">
        <f aca="false">IF(X30="","",IF(X71=D30,0,W90-(G30-X30)))</f>
        <v/>
      </c>
      <c r="Y90" s="15" t="str">
        <f aca="false">IF(Y30="","",IF(Y71=D30,0,X90-(G30-Y30)))</f>
        <v/>
      </c>
      <c r="Z90" s="15" t="str">
        <f aca="false">IF(Z30="","",IF(Z71=D30,0,Y90-(G30-Z30)))</f>
        <v/>
      </c>
      <c r="AA90" s="15" t="str">
        <f aca="false">IF(AA30="","",IF(AA71=D30,0,Z90-(G30-AA30)))</f>
        <v/>
      </c>
      <c r="AB90" s="15" t="str">
        <f aca="false">IF(AB30="","",IF(AB71=D30,0,AA90-(G30-AB30)))</f>
        <v/>
      </c>
      <c r="AC90" s="15" t="str">
        <f aca="false">IF(AC30="","",IF(AC71=D30,0,AB90-(G30-AC30)))</f>
        <v/>
      </c>
      <c r="AD90" s="15" t="str">
        <f aca="false">IF(AD30="","",IF(AD71=D30,0,AC90-(G30-AD30)))</f>
        <v/>
      </c>
      <c r="AE90" s="15" t="str">
        <f aca="false">IF(AE30="","",IF(AE71=D30,0,AD90-(G30-AE30)))</f>
        <v/>
      </c>
      <c r="AF90" s="15" t="str">
        <f aca="false">IF(AF30="","",IF(AF71=D30,0,AE90-(G30-AF30)))</f>
        <v/>
      </c>
      <c r="AG90" s="15" t="str">
        <f aca="false">IF(AG30="","",IF(AG71=D30,0,AF90-(G30-AG30)))</f>
        <v/>
      </c>
      <c r="AH90" s="15" t="str">
        <f aca="false">IF(AH30="","",IF(AH71=D30,0,AG90-(G30-AH30)))</f>
        <v/>
      </c>
      <c r="AI90" s="15" t="str">
        <f aca="false">IF(AI30="","",IF(AI71=D30,0,AH90-(G30-AI30)))</f>
        <v/>
      </c>
      <c r="AJ90" s="15" t="str">
        <f aca="false">IF(AJ30="","",IF(AJ71=D30,0,AI90-(G30-AJ30)))</f>
        <v/>
      </c>
      <c r="AK90" s="15" t="str">
        <f aca="false">IF(AK30="","",IF(AK71=D30,0,AJ90-(G30-AK30)))</f>
        <v/>
      </c>
      <c r="AL90" s="15" t="str">
        <f aca="false">IF(AL30="","",IF(AL71=D30,0,AK90-(G30-AL30)))</f>
        <v/>
      </c>
      <c r="AM90" s="15" t="str">
        <f aca="false">IF(AM30="","",IF(AM71=D30,0,AL90-(G30-AM30)))</f>
        <v/>
      </c>
      <c r="AN90" s="15" t="str">
        <f aca="false">IF(AN30="","",IF(AN71=D30,0,AM90-(G30-AN30)))</f>
        <v/>
      </c>
      <c r="AO90" s="15" t="str">
        <f aca="false">IF(AO30="","",IF(AO71=D30,0,AN90-(G30-AO30)))</f>
        <v/>
      </c>
      <c r="AP90" s="15" t="str">
        <f aca="false">IF(AP30="","",IF(AP71=D30,0,AO90-(G30-AP30)))</f>
        <v/>
      </c>
      <c r="AQ90" s="15" t="str">
        <f aca="false">IF(AQ30="","",IF(AQ71=D30,0,AP90-(G30-AQ30)))</f>
        <v/>
      </c>
      <c r="AR90" s="15" t="str">
        <f aca="false">IF(AR30="","",IF(AR71=D30,0,AQ90-(G30-AR30)))</f>
        <v/>
      </c>
      <c r="AS90" s="15" t="str">
        <f aca="false">IF(AS30="","",IF(AS71=D30,0,AR90-(G30-AS30)))</f>
        <v/>
      </c>
      <c r="AT90" s="15" t="str">
        <f aca="false">IF(AT30="","",IF(AT71=D30,0,AS90-(G30-AT30)))</f>
        <v/>
      </c>
      <c r="AU90" s="15" t="str">
        <f aca="false">IF(AU30="","",IF(AU71=D30,0,AT90-(G30-AU30)))</f>
        <v/>
      </c>
      <c r="AV90" s="15" t="str">
        <f aca="false">IF(AV30="","",IF(AV71=D30,0,AU90-(G30-AV30)))</f>
        <v/>
      </c>
      <c r="AW90" s="15" t="str">
        <f aca="false">IF(AW30="","",IF(AW71=D30,0,AV90-(G30-AW30)))</f>
        <v/>
      </c>
      <c r="AX90" s="15" t="str">
        <f aca="false">IF(AX30="","",IF(AX71=D30,0,AW90-(G30-AX30)))</f>
        <v/>
      </c>
      <c r="AY90" s="15" t="str">
        <f aca="false">IF(AY30="","",IF(AY71=D30,0,AX90-(G30-AY30)))</f>
        <v/>
      </c>
      <c r="AZ90" s="15" t="str">
        <f aca="false">IF(AZ30="","",IF(AZ71=D30,0,AY90-(G30-AZ30)))</f>
        <v/>
      </c>
      <c r="BA90" s="15" t="str">
        <f aca="false">IF(BA30="","",IF(BA71=D30,0,AZ90-(G30-BA30)))</f>
        <v/>
      </c>
      <c r="BB90" s="15" t="str">
        <f aca="false">IF(BB30="","",IF(BB71=D30,0,BA90-(G30-BB30)))</f>
        <v/>
      </c>
      <c r="BC90" s="15" t="str">
        <f aca="false">IF(BC30="","",IF(BC71=D30,0,BB90-(G30-BC30)))</f>
        <v/>
      </c>
      <c r="BD90" s="15" t="str">
        <f aca="false">IF(BD30="","",IF(BD71=D30,0,BC90-(G30-BD30)))</f>
        <v/>
      </c>
      <c r="BE90" s="15" t="str">
        <f aca="false">IF(BE30="","",IF(BE71=D30,0,BD90-(G30-BE30)))</f>
        <v/>
      </c>
      <c r="BF90" s="15" t="str">
        <f aca="false">IF(BF30="","",IF(BF71=D30,0,BE90-(G30-BF30)))</f>
        <v/>
      </c>
      <c r="BG90" s="15" t="str">
        <f aca="false">IF(BG30="","",IF(BG71=D30,0,BF90-(G30-BG30)))</f>
        <v/>
      </c>
      <c r="BH90" s="15" t="str">
        <f aca="false">IF(BH30="","",IF(BH71=D30,0,BG90-(G30-BH30)))</f>
        <v/>
      </c>
      <c r="BI90" s="15" t="str">
        <f aca="false">IF(BI30="","",IF(BI71=D30,0,BH90-(G30-BI30)))</f>
        <v/>
      </c>
      <c r="BJ90" s="15" t="str">
        <f aca="false">IF(BJ30="","",IF(BJ71=D30,0,BI90-(G30-BJ30)))</f>
        <v/>
      </c>
      <c r="BK90" s="15" t="str">
        <f aca="false">IF(BK30="","",IF(BK71=D30,0,BJ90-(G30-BK30)))</f>
        <v/>
      </c>
      <c r="BL90" s="15" t="str">
        <f aca="false">IF(BL30="","",IF(BL71=D30,0,BK90-(G30-BL30)))</f>
        <v/>
      </c>
      <c r="BM90" s="15" t="str">
        <f aca="false">IF(BM30="","",IF(BM71=D30,0,BL90-(G30-BM30)))</f>
        <v/>
      </c>
      <c r="BN90" s="15" t="str">
        <f aca="false">IF(BN30="","",IF(BN71=D30,0,BM90-(G30-BN30)))</f>
        <v/>
      </c>
      <c r="BO90" s="15" t="str">
        <f aca="false">IF(BO30="","",IF(BO71=D30,0,BN90-(G30-BO30)))</f>
        <v/>
      </c>
      <c r="BP90" s="15" t="str">
        <f aca="false">IF(BP30="","",IF(BP71=D30,0,BO90-(G30-BP30)))</f>
        <v/>
      </c>
    </row>
    <row r="91" customFormat="false" ht="15" hidden="false" customHeight="false" outlineLevel="0" collapsed="false">
      <c r="A91" s="29" t="str">
        <f aca="false">A31</f>
        <v/>
      </c>
      <c r="B91" s="29" t="str">
        <f aca="false">B31</f>
        <v/>
      </c>
      <c r="C91" s="29" t="str">
        <f aca="false">C31</f>
        <v/>
      </c>
      <c r="D91" s="16" t="str">
        <f aca="false">D31</f>
        <v/>
      </c>
      <c r="E91" s="17" t="str">
        <f aca="false">E31</f>
        <v/>
      </c>
      <c r="F91" s="15" t="str">
        <f aca="false">F31</f>
        <v/>
      </c>
      <c r="G91" s="15" t="str">
        <f aca="false">G31</f>
        <v/>
      </c>
      <c r="I91" s="15" t="str">
        <f aca="false">IF(I31="","",IF(I71=D31,0,F31-(G31-I31)))</f>
        <v/>
      </c>
      <c r="J91" s="15" t="str">
        <f aca="false">IF(J31="","",IF(J71=D31,0,I91-(G31-J31)))</f>
        <v/>
      </c>
      <c r="K91" s="15" t="str">
        <f aca="false">IF(K31="","",IF(K71=D31,0,J91-(G31-K31)))</f>
        <v/>
      </c>
      <c r="L91" s="15" t="str">
        <f aca="false">IF(L31="","",IF(L71=D31,0,K91-(G31-L31)))</f>
        <v/>
      </c>
      <c r="M91" s="15" t="str">
        <f aca="false">IF(M31="","",IF(M71=D31,0,L91-(G31-M31)))</f>
        <v/>
      </c>
      <c r="N91" s="15" t="str">
        <f aca="false">IF(N31="","",IF(N71=D31,0,M91-(G31-N31)))</f>
        <v/>
      </c>
      <c r="O91" s="15" t="str">
        <f aca="false">IF(O31="","",IF(O71=D31,0,N91-(G31-O31)))</f>
        <v/>
      </c>
      <c r="P91" s="15" t="str">
        <f aca="false">IF(P31="","",IF(P71=D31,0,O91-(G31-P31)))</f>
        <v/>
      </c>
      <c r="Q91" s="15" t="str">
        <f aca="false">IF(Q31="","",IF(Q71=D31,0,P91-(G31-Q31)))</f>
        <v/>
      </c>
      <c r="R91" s="15" t="str">
        <f aca="false">IF(R31="","",IF(R71=D31,0,Q91-(G31-R31)))</f>
        <v/>
      </c>
      <c r="S91" s="15" t="str">
        <f aca="false">IF(S31="","",IF(S71=D31,0,R91-(G31-S31)))</f>
        <v/>
      </c>
      <c r="T91" s="15" t="str">
        <f aca="false">IF(T31="","",IF(T71=D31,0,S91-(G31-T31)))</f>
        <v/>
      </c>
      <c r="U91" s="15" t="str">
        <f aca="false">IF(U31="","",IF(U71=D31,0,T91-(G31-U31)))</f>
        <v/>
      </c>
      <c r="V91" s="15" t="str">
        <f aca="false">IF(V31="","",IF(V71=D31,0,U91-(G31-V31)))</f>
        <v/>
      </c>
      <c r="W91" s="15" t="str">
        <f aca="false">IF(W31="","",IF(W71=D31,0,V91-(G31-W31)))</f>
        <v/>
      </c>
      <c r="X91" s="15" t="str">
        <f aca="false">IF(X31="","",IF(X71=D31,0,W91-(G31-X31)))</f>
        <v/>
      </c>
      <c r="Y91" s="15" t="str">
        <f aca="false">IF(Y31="","",IF(Y71=D31,0,X91-(G31-Y31)))</f>
        <v/>
      </c>
      <c r="Z91" s="15" t="str">
        <f aca="false">IF(Z31="","",IF(Z71=D31,0,Y91-(G31-Z31)))</f>
        <v/>
      </c>
      <c r="AA91" s="15" t="str">
        <f aca="false">IF(AA31="","",IF(AA71=D31,0,Z91-(G31-AA31)))</f>
        <v/>
      </c>
      <c r="AB91" s="15" t="str">
        <f aca="false">IF(AB31="","",IF(AB71=D31,0,AA91-(G31-AB31)))</f>
        <v/>
      </c>
      <c r="AC91" s="15" t="str">
        <f aca="false">IF(AC31="","",IF(AC71=D31,0,AB91-(G31-AC31)))</f>
        <v/>
      </c>
      <c r="AD91" s="15" t="str">
        <f aca="false">IF(AD31="","",IF(AD71=D31,0,AC91-(G31-AD31)))</f>
        <v/>
      </c>
      <c r="AE91" s="15" t="str">
        <f aca="false">IF(AE31="","",IF(AE71=D31,0,AD91-(G31-AE31)))</f>
        <v/>
      </c>
      <c r="AF91" s="15" t="str">
        <f aca="false">IF(AF31="","",IF(AF71=D31,0,AE91-(G31-AF31)))</f>
        <v/>
      </c>
      <c r="AG91" s="15" t="str">
        <f aca="false">IF(AG31="","",IF(AG71=D31,0,AF91-(G31-AG31)))</f>
        <v/>
      </c>
      <c r="AH91" s="15" t="str">
        <f aca="false">IF(AH31="","",IF(AH71=D31,0,AG91-(G31-AH31)))</f>
        <v/>
      </c>
      <c r="AI91" s="15" t="str">
        <f aca="false">IF(AI31="","",IF(AI71=D31,0,AH91-(G31-AI31)))</f>
        <v/>
      </c>
      <c r="AJ91" s="15" t="str">
        <f aca="false">IF(AJ31="","",IF(AJ71=D31,0,AI91-(G31-AJ31)))</f>
        <v/>
      </c>
      <c r="AK91" s="15" t="str">
        <f aca="false">IF(AK31="","",IF(AK71=D31,0,AJ91-(G31-AK31)))</f>
        <v/>
      </c>
      <c r="AL91" s="15" t="str">
        <f aca="false">IF(AL31="","",IF(AL71=D31,0,AK91-(G31-AL31)))</f>
        <v/>
      </c>
      <c r="AM91" s="15" t="str">
        <f aca="false">IF(AM31="","",IF(AM71=D31,0,AL91-(G31-AM31)))</f>
        <v/>
      </c>
      <c r="AN91" s="15" t="str">
        <f aca="false">IF(AN31="","",IF(AN71=D31,0,AM91-(G31-AN31)))</f>
        <v/>
      </c>
      <c r="AO91" s="15" t="str">
        <f aca="false">IF(AO31="","",IF(AO71=D31,0,AN91-(G31-AO31)))</f>
        <v/>
      </c>
      <c r="AP91" s="15" t="str">
        <f aca="false">IF(AP31="","",IF(AP71=D31,0,AO91-(G31-AP31)))</f>
        <v/>
      </c>
      <c r="AQ91" s="15" t="str">
        <f aca="false">IF(AQ31="","",IF(AQ71=D31,0,AP91-(G31-AQ31)))</f>
        <v/>
      </c>
      <c r="AR91" s="15" t="str">
        <f aca="false">IF(AR31="","",IF(AR71=D31,0,AQ91-(G31-AR31)))</f>
        <v/>
      </c>
      <c r="AS91" s="15" t="str">
        <f aca="false">IF(AS31="","",IF(AS71=D31,0,AR91-(G31-AS31)))</f>
        <v/>
      </c>
      <c r="AT91" s="15" t="str">
        <f aca="false">IF(AT31="","",IF(AT71=D31,0,AS91-(G31-AT31)))</f>
        <v/>
      </c>
      <c r="AU91" s="15" t="str">
        <f aca="false">IF(AU31="","",IF(AU71=D31,0,AT91-(G31-AU31)))</f>
        <v/>
      </c>
      <c r="AV91" s="15" t="str">
        <f aca="false">IF(AV31="","",IF(AV71=D31,0,AU91-(G31-AV31)))</f>
        <v/>
      </c>
      <c r="AW91" s="15" t="str">
        <f aca="false">IF(AW31="","",IF(AW71=D31,0,AV91-(G31-AW31)))</f>
        <v/>
      </c>
      <c r="AX91" s="15" t="str">
        <f aca="false">IF(AX31="","",IF(AX71=D31,0,AW91-(G31-AX31)))</f>
        <v/>
      </c>
      <c r="AY91" s="15" t="str">
        <f aca="false">IF(AY31="","",IF(AY71=D31,0,AX91-(G31-AY31)))</f>
        <v/>
      </c>
      <c r="AZ91" s="15" t="str">
        <f aca="false">IF(AZ31="","",IF(AZ71=D31,0,AY91-(G31-AZ31)))</f>
        <v/>
      </c>
      <c r="BA91" s="15" t="str">
        <f aca="false">IF(BA31="","",IF(BA71=D31,0,AZ91-(G31-BA31)))</f>
        <v/>
      </c>
      <c r="BB91" s="15" t="str">
        <f aca="false">IF(BB31="","",IF(BB71=D31,0,BA91-(G31-BB31)))</f>
        <v/>
      </c>
      <c r="BC91" s="15" t="str">
        <f aca="false">IF(BC31="","",IF(BC71=D31,0,BB91-(G31-BC31)))</f>
        <v/>
      </c>
      <c r="BD91" s="15" t="str">
        <f aca="false">IF(BD31="","",IF(BD71=D31,0,BC91-(G31-BD31)))</f>
        <v/>
      </c>
      <c r="BE91" s="15" t="str">
        <f aca="false">IF(BE31="","",IF(BE71=D31,0,BD91-(G31-BE31)))</f>
        <v/>
      </c>
      <c r="BF91" s="15" t="str">
        <f aca="false">IF(BF31="","",IF(BF71=D31,0,BE91-(G31-BF31)))</f>
        <v/>
      </c>
      <c r="BG91" s="15" t="str">
        <f aca="false">IF(BG31="","",IF(BG71=D31,0,BF91-(G31-BG31)))</f>
        <v/>
      </c>
      <c r="BH91" s="15" t="str">
        <f aca="false">IF(BH31="","",IF(BH71=D31,0,BG91-(G31-BH31)))</f>
        <v/>
      </c>
      <c r="BI91" s="15" t="str">
        <f aca="false">IF(BI31="","",IF(BI71=D31,0,BH91-(G31-BI31)))</f>
        <v/>
      </c>
      <c r="BJ91" s="15" t="str">
        <f aca="false">IF(BJ31="","",IF(BJ71=D31,0,BI91-(G31-BJ31)))</f>
        <v/>
      </c>
      <c r="BK91" s="15" t="str">
        <f aca="false">IF(BK31="","",IF(BK71=D31,0,BJ91-(G31-BK31)))</f>
        <v/>
      </c>
      <c r="BL91" s="15" t="str">
        <f aca="false">IF(BL31="","",IF(BL71=D31,0,BK91-(G31-BL31)))</f>
        <v/>
      </c>
      <c r="BM91" s="15" t="str">
        <f aca="false">IF(BM31="","",IF(BM71=D31,0,BL91-(G31-BM31)))</f>
        <v/>
      </c>
      <c r="BN91" s="15" t="str">
        <f aca="false">IF(BN31="","",IF(BN71=D31,0,BM91-(G31-BN31)))</f>
        <v/>
      </c>
      <c r="BO91" s="15" t="str">
        <f aca="false">IF(BO31="","",IF(BO71=D31,0,BN91-(G31-BO31)))</f>
        <v/>
      </c>
      <c r="BP91" s="15" t="str">
        <f aca="false">IF(BP31="","",IF(BP71=D31,0,BO91-(G31-BP31)))</f>
        <v/>
      </c>
    </row>
    <row r="92" customFormat="false" ht="15" hidden="false" customHeight="false" outlineLevel="0" collapsed="false">
      <c r="A92" s="29" t="str">
        <f aca="false">A32</f>
        <v/>
      </c>
      <c r="B92" s="29" t="str">
        <f aca="false">B32</f>
        <v/>
      </c>
      <c r="C92" s="29" t="str">
        <f aca="false">C32</f>
        <v/>
      </c>
      <c r="D92" s="16" t="str">
        <f aca="false">D32</f>
        <v/>
      </c>
      <c r="E92" s="17" t="str">
        <f aca="false">E32</f>
        <v/>
      </c>
      <c r="F92" s="15" t="str">
        <f aca="false">F32</f>
        <v/>
      </c>
      <c r="G92" s="15" t="str">
        <f aca="false">G32</f>
        <v/>
      </c>
      <c r="I92" s="15" t="str">
        <f aca="false">IF(I32="","",IF(I71=D32,0,F32-(G32-I32)))</f>
        <v/>
      </c>
      <c r="J92" s="15" t="str">
        <f aca="false">IF(J32="","",IF(J71=D32,0,I92-(G32-J32)))</f>
        <v/>
      </c>
      <c r="K92" s="15" t="str">
        <f aca="false">IF(K32="","",IF(K71=D32,0,J92-(G32-K32)))</f>
        <v/>
      </c>
      <c r="L92" s="15" t="str">
        <f aca="false">IF(L32="","",IF(L71=D32,0,K92-(G32-L32)))</f>
        <v/>
      </c>
      <c r="M92" s="15" t="str">
        <f aca="false">IF(M32="","",IF(M71=D32,0,L92-(G32-M32)))</f>
        <v/>
      </c>
      <c r="N92" s="15" t="str">
        <f aca="false">IF(N32="","",IF(N71=D32,0,M92-(G32-N32)))</f>
        <v/>
      </c>
      <c r="O92" s="15" t="str">
        <f aca="false">IF(O32="","",IF(O71=D32,0,N92-(G32-O32)))</f>
        <v/>
      </c>
      <c r="P92" s="15" t="str">
        <f aca="false">IF(P32="","",IF(P71=D32,0,O92-(G32-P32)))</f>
        <v/>
      </c>
      <c r="Q92" s="15" t="str">
        <f aca="false">IF(Q32="","",IF(Q71=D32,0,P92-(G32-Q32)))</f>
        <v/>
      </c>
      <c r="R92" s="15" t="str">
        <f aca="false">IF(R32="","",IF(R71=D32,0,Q92-(G32-R32)))</f>
        <v/>
      </c>
      <c r="S92" s="15" t="str">
        <f aca="false">IF(S32="","",IF(S71=D32,0,R92-(G32-S32)))</f>
        <v/>
      </c>
      <c r="T92" s="15" t="str">
        <f aca="false">IF(T32="","",IF(T71=D32,0,S92-(G32-T32)))</f>
        <v/>
      </c>
      <c r="U92" s="15" t="str">
        <f aca="false">IF(U32="","",IF(U71=D32,0,T92-(G32-U32)))</f>
        <v/>
      </c>
      <c r="V92" s="15" t="str">
        <f aca="false">IF(V32="","",IF(V71=D32,0,U92-(G32-V32)))</f>
        <v/>
      </c>
      <c r="W92" s="15" t="str">
        <f aca="false">IF(W32="","",IF(W71=D32,0,V92-(G32-W32)))</f>
        <v/>
      </c>
      <c r="X92" s="15" t="str">
        <f aca="false">IF(X32="","",IF(X71=D32,0,W92-(G32-X32)))</f>
        <v/>
      </c>
      <c r="Y92" s="15" t="str">
        <f aca="false">IF(Y32="","",IF(Y71=D32,0,X92-(G32-Y32)))</f>
        <v/>
      </c>
      <c r="Z92" s="15" t="str">
        <f aca="false">IF(Z32="","",IF(Z71=D32,0,Y92-(G32-Z32)))</f>
        <v/>
      </c>
      <c r="AA92" s="15" t="str">
        <f aca="false">IF(AA32="","",IF(AA71=D32,0,Z92-(G32-AA32)))</f>
        <v/>
      </c>
      <c r="AB92" s="15" t="str">
        <f aca="false">IF(AB32="","",IF(AB71=D32,0,AA92-(G32-AB32)))</f>
        <v/>
      </c>
      <c r="AC92" s="15" t="str">
        <f aca="false">IF(AC32="","",IF(AC71=D32,0,AB92-(G32-AC32)))</f>
        <v/>
      </c>
      <c r="AD92" s="15" t="str">
        <f aca="false">IF(AD32="","",IF(AD71=D32,0,AC92-(G32-AD32)))</f>
        <v/>
      </c>
      <c r="AE92" s="15" t="str">
        <f aca="false">IF(AE32="","",IF(AE71=D32,0,AD92-(G32-AE32)))</f>
        <v/>
      </c>
      <c r="AF92" s="15" t="str">
        <f aca="false">IF(AF32="","",IF(AF71=D32,0,AE92-(G32-AF32)))</f>
        <v/>
      </c>
      <c r="AG92" s="15" t="str">
        <f aca="false">IF(AG32="","",IF(AG71=D32,0,AF92-(G32-AG32)))</f>
        <v/>
      </c>
      <c r="AH92" s="15" t="str">
        <f aca="false">IF(AH32="","",IF(AH71=D32,0,AG92-(G32-AH32)))</f>
        <v/>
      </c>
      <c r="AI92" s="15" t="str">
        <f aca="false">IF(AI32="","",IF(AI71=D32,0,AH92-(G32-AI32)))</f>
        <v/>
      </c>
      <c r="AJ92" s="15" t="str">
        <f aca="false">IF(AJ32="","",IF(AJ71=D32,0,AI92-(G32-AJ32)))</f>
        <v/>
      </c>
      <c r="AK92" s="15" t="str">
        <f aca="false">IF(AK32="","",IF(AK71=D32,0,AJ92-(G32-AK32)))</f>
        <v/>
      </c>
      <c r="AL92" s="15" t="str">
        <f aca="false">IF(AL32="","",IF(AL71=D32,0,AK92-(G32-AL32)))</f>
        <v/>
      </c>
      <c r="AM92" s="15" t="str">
        <f aca="false">IF(AM32="","",IF(AM71=D32,0,AL92-(G32-AM32)))</f>
        <v/>
      </c>
      <c r="AN92" s="15" t="str">
        <f aca="false">IF(AN32="","",IF(AN71=D32,0,AM92-(G32-AN32)))</f>
        <v/>
      </c>
      <c r="AO92" s="15" t="str">
        <f aca="false">IF(AO32="","",IF(AO71=D32,0,AN92-(G32-AO32)))</f>
        <v/>
      </c>
      <c r="AP92" s="15" t="str">
        <f aca="false">IF(AP32="","",IF(AP71=D32,0,AO92-(G32-AP32)))</f>
        <v/>
      </c>
      <c r="AQ92" s="15" t="str">
        <f aca="false">IF(AQ32="","",IF(AQ71=D32,0,AP92-(G32-AQ32)))</f>
        <v/>
      </c>
      <c r="AR92" s="15" t="str">
        <f aca="false">IF(AR32="","",IF(AR71=D32,0,AQ92-(G32-AR32)))</f>
        <v/>
      </c>
      <c r="AS92" s="15" t="str">
        <f aca="false">IF(AS32="","",IF(AS71=D32,0,AR92-(G32-AS32)))</f>
        <v/>
      </c>
      <c r="AT92" s="15" t="str">
        <f aca="false">IF(AT32="","",IF(AT71=D32,0,AS92-(G32-AT32)))</f>
        <v/>
      </c>
      <c r="AU92" s="15" t="str">
        <f aca="false">IF(AU32="","",IF(AU71=D32,0,AT92-(G32-AU32)))</f>
        <v/>
      </c>
      <c r="AV92" s="15" t="str">
        <f aca="false">IF(AV32="","",IF(AV71=D32,0,AU92-(G32-AV32)))</f>
        <v/>
      </c>
      <c r="AW92" s="15" t="str">
        <f aca="false">IF(AW32="","",IF(AW71=D32,0,AV92-(G32-AW32)))</f>
        <v/>
      </c>
      <c r="AX92" s="15" t="str">
        <f aca="false">IF(AX32="","",IF(AX71=D32,0,AW92-(G32-AX32)))</f>
        <v/>
      </c>
      <c r="AY92" s="15" t="str">
        <f aca="false">IF(AY32="","",IF(AY71=D32,0,AX92-(G32-AY32)))</f>
        <v/>
      </c>
      <c r="AZ92" s="15" t="str">
        <f aca="false">IF(AZ32="","",IF(AZ71=D32,0,AY92-(G32-AZ32)))</f>
        <v/>
      </c>
      <c r="BA92" s="15" t="str">
        <f aca="false">IF(BA32="","",IF(BA71=D32,0,AZ92-(G32-BA32)))</f>
        <v/>
      </c>
      <c r="BB92" s="15" t="str">
        <f aca="false">IF(BB32="","",IF(BB71=D32,0,BA92-(G32-BB32)))</f>
        <v/>
      </c>
      <c r="BC92" s="15" t="str">
        <f aca="false">IF(BC32="","",IF(BC71=D32,0,BB92-(G32-BC32)))</f>
        <v/>
      </c>
      <c r="BD92" s="15" t="str">
        <f aca="false">IF(BD32="","",IF(BD71=D32,0,BC92-(G32-BD32)))</f>
        <v/>
      </c>
      <c r="BE92" s="15" t="str">
        <f aca="false">IF(BE32="","",IF(BE71=D32,0,BD92-(G32-BE32)))</f>
        <v/>
      </c>
      <c r="BF92" s="15" t="str">
        <f aca="false">IF(BF32="","",IF(BF71=D32,0,BE92-(G32-BF32)))</f>
        <v/>
      </c>
      <c r="BG92" s="15" t="str">
        <f aca="false">IF(BG32="","",IF(BG71=D32,0,BF92-(G32-BG32)))</f>
        <v/>
      </c>
      <c r="BH92" s="15" t="str">
        <f aca="false">IF(BH32="","",IF(BH71=D32,0,BG92-(G32-BH32)))</f>
        <v/>
      </c>
      <c r="BI92" s="15" t="str">
        <f aca="false">IF(BI32="","",IF(BI71=D32,0,BH92-(G32-BI32)))</f>
        <v/>
      </c>
      <c r="BJ92" s="15" t="str">
        <f aca="false">IF(BJ32="","",IF(BJ71=D32,0,BI92-(G32-BJ32)))</f>
        <v/>
      </c>
      <c r="BK92" s="15" t="str">
        <f aca="false">IF(BK32="","",IF(BK71=D32,0,BJ92-(G32-BK32)))</f>
        <v/>
      </c>
      <c r="BL92" s="15" t="str">
        <f aca="false">IF(BL32="","",IF(BL71=D32,0,BK92-(G32-BL32)))</f>
        <v/>
      </c>
      <c r="BM92" s="15" t="str">
        <f aca="false">IF(BM32="","",IF(BM71=D32,0,BL92-(G32-BM32)))</f>
        <v/>
      </c>
      <c r="BN92" s="15" t="str">
        <f aca="false">IF(BN32="","",IF(BN71=D32,0,BM92-(G32-BN32)))</f>
        <v/>
      </c>
      <c r="BO92" s="15" t="str">
        <f aca="false">IF(BO32="","",IF(BO71=D32,0,BN92-(G32-BO32)))</f>
        <v/>
      </c>
      <c r="BP92" s="15" t="str">
        <f aca="false">IF(BP32="","",IF(BP71=D32,0,BO92-(G32-BP32)))</f>
        <v/>
      </c>
    </row>
    <row r="93" customFormat="false" ht="15" hidden="false" customHeight="false" outlineLevel="0" collapsed="false">
      <c r="A93" s="29" t="str">
        <f aca="false">A33</f>
        <v/>
      </c>
      <c r="B93" s="29" t="str">
        <f aca="false">B33</f>
        <v/>
      </c>
      <c r="C93" s="29" t="str">
        <f aca="false">C33</f>
        <v/>
      </c>
      <c r="D93" s="16" t="str">
        <f aca="false">D33</f>
        <v/>
      </c>
      <c r="E93" s="17" t="str">
        <f aca="false">E33</f>
        <v/>
      </c>
      <c r="F93" s="15" t="str">
        <f aca="false">F33</f>
        <v/>
      </c>
      <c r="G93" s="15" t="str">
        <f aca="false">G33</f>
        <v/>
      </c>
      <c r="I93" s="15" t="str">
        <f aca="false">IF(I33="","",IF(I71=D33,0,F33-(G33-I33)))</f>
        <v/>
      </c>
      <c r="J93" s="15" t="str">
        <f aca="false">IF(J33="","",IF(J71=D33,0,I93-(G33-J33)))</f>
        <v/>
      </c>
      <c r="K93" s="15" t="str">
        <f aca="false">IF(K33="","",IF(K71=D33,0,J93-(G33-K33)))</f>
        <v/>
      </c>
      <c r="L93" s="15" t="str">
        <f aca="false">IF(L33="","",IF(L71=D33,0,K93-(G33-L33)))</f>
        <v/>
      </c>
      <c r="M93" s="15" t="str">
        <f aca="false">IF(M33="","",IF(M71=D33,0,L93-(G33-M33)))</f>
        <v/>
      </c>
      <c r="N93" s="15" t="str">
        <f aca="false">IF(N33="","",IF(N71=D33,0,M93-(G33-N33)))</f>
        <v/>
      </c>
      <c r="O93" s="15" t="str">
        <f aca="false">IF(O33="","",IF(O71=D33,0,N93-(G33-O33)))</f>
        <v/>
      </c>
      <c r="P93" s="15" t="str">
        <f aca="false">IF(P33="","",IF(P71=D33,0,O93-(G33-P33)))</f>
        <v/>
      </c>
      <c r="Q93" s="15" t="str">
        <f aca="false">IF(Q33="","",IF(Q71=D33,0,P93-(G33-Q33)))</f>
        <v/>
      </c>
      <c r="R93" s="15" t="str">
        <f aca="false">IF(R33="","",IF(R71=D33,0,Q93-(G33-R33)))</f>
        <v/>
      </c>
      <c r="S93" s="15" t="str">
        <f aca="false">IF(S33="","",IF(S71=D33,0,R93-(G33-S33)))</f>
        <v/>
      </c>
      <c r="T93" s="15" t="str">
        <f aca="false">IF(T33="","",IF(T71=D33,0,S93-(G33-T33)))</f>
        <v/>
      </c>
      <c r="U93" s="15" t="str">
        <f aca="false">IF(U33="","",IF(U71=D33,0,T93-(G33-U33)))</f>
        <v/>
      </c>
      <c r="V93" s="15" t="str">
        <f aca="false">IF(V33="","",IF(V71=D33,0,U93-(G33-V33)))</f>
        <v/>
      </c>
      <c r="W93" s="15" t="str">
        <f aca="false">IF(W33="","",IF(W71=D33,0,V93-(G33-W33)))</f>
        <v/>
      </c>
      <c r="X93" s="15" t="str">
        <f aca="false">IF(X33="","",IF(X71=D33,0,W93-(G33-X33)))</f>
        <v/>
      </c>
      <c r="Y93" s="15" t="str">
        <f aca="false">IF(Y33="","",IF(Y71=D33,0,X93-(G33-Y33)))</f>
        <v/>
      </c>
      <c r="Z93" s="15" t="str">
        <f aca="false">IF(Z33="","",IF(Z71=D33,0,Y93-(G33-Z33)))</f>
        <v/>
      </c>
      <c r="AA93" s="15" t="str">
        <f aca="false">IF(AA33="","",IF(AA71=D33,0,Z93-(G33-AA33)))</f>
        <v/>
      </c>
      <c r="AB93" s="15" t="str">
        <f aca="false">IF(AB33="","",IF(AB71=D33,0,AA93-(G33-AB33)))</f>
        <v/>
      </c>
      <c r="AC93" s="15" t="str">
        <f aca="false">IF(AC33="","",IF(AC71=D33,0,AB93-(G33-AC33)))</f>
        <v/>
      </c>
      <c r="AD93" s="15" t="str">
        <f aca="false">IF(AD33="","",IF(AD71=D33,0,AC93-(G33-AD33)))</f>
        <v/>
      </c>
      <c r="AE93" s="15" t="str">
        <f aca="false">IF(AE33="","",IF(AE71=D33,0,AD93-(G33-AE33)))</f>
        <v/>
      </c>
      <c r="AF93" s="15" t="str">
        <f aca="false">IF(AF33="","",IF(AF71=D33,0,AE93-(G33-AF33)))</f>
        <v/>
      </c>
      <c r="AG93" s="15" t="str">
        <f aca="false">IF(AG33="","",IF(AG71=D33,0,AF93-(G33-AG33)))</f>
        <v/>
      </c>
      <c r="AH93" s="15" t="str">
        <f aca="false">IF(AH33="","",IF(AH71=D33,0,AG93-(G33-AH33)))</f>
        <v/>
      </c>
      <c r="AI93" s="15" t="str">
        <f aca="false">IF(AI33="","",IF(AI71=D33,0,AH93-(G33-AI33)))</f>
        <v/>
      </c>
      <c r="AJ93" s="15" t="str">
        <f aca="false">IF(AJ33="","",IF(AJ71=D33,0,AI93-(G33-AJ33)))</f>
        <v/>
      </c>
      <c r="AK93" s="15" t="str">
        <f aca="false">IF(AK33="","",IF(AK71=D33,0,AJ93-(G33-AK33)))</f>
        <v/>
      </c>
      <c r="AL93" s="15" t="str">
        <f aca="false">IF(AL33="","",IF(AL71=D33,0,AK93-(G33-AL33)))</f>
        <v/>
      </c>
      <c r="AM93" s="15" t="str">
        <f aca="false">IF(AM33="","",IF(AM71=D33,0,AL93-(G33-AM33)))</f>
        <v/>
      </c>
      <c r="AN93" s="15" t="str">
        <f aca="false">IF(AN33="","",IF(AN71=D33,0,AM93-(G33-AN33)))</f>
        <v/>
      </c>
      <c r="AO93" s="15" t="str">
        <f aca="false">IF(AO33="","",IF(AO71=D33,0,AN93-(G33-AO33)))</f>
        <v/>
      </c>
      <c r="AP93" s="15" t="str">
        <f aca="false">IF(AP33="","",IF(AP71=D33,0,AO93-(G33-AP33)))</f>
        <v/>
      </c>
      <c r="AQ93" s="15" t="str">
        <f aca="false">IF(AQ33="","",IF(AQ71=D33,0,AP93-(G33-AQ33)))</f>
        <v/>
      </c>
      <c r="AR93" s="15" t="str">
        <f aca="false">IF(AR33="","",IF(AR71=D33,0,AQ93-(G33-AR33)))</f>
        <v/>
      </c>
      <c r="AS93" s="15" t="str">
        <f aca="false">IF(AS33="","",IF(AS71=D33,0,AR93-(G33-AS33)))</f>
        <v/>
      </c>
      <c r="AT93" s="15" t="str">
        <f aca="false">IF(AT33="","",IF(AT71=D33,0,AS93-(G33-AT33)))</f>
        <v/>
      </c>
      <c r="AU93" s="15" t="str">
        <f aca="false">IF(AU33="","",IF(AU71=D33,0,AT93-(G33-AU33)))</f>
        <v/>
      </c>
      <c r="AV93" s="15" t="str">
        <f aca="false">IF(AV33="","",IF(AV71=D33,0,AU93-(G33-AV33)))</f>
        <v/>
      </c>
      <c r="AW93" s="15" t="str">
        <f aca="false">IF(AW33="","",IF(AW71=D33,0,AV93-(G33-AW33)))</f>
        <v/>
      </c>
      <c r="AX93" s="15" t="str">
        <f aca="false">IF(AX33="","",IF(AX71=D33,0,AW93-(G33-AX33)))</f>
        <v/>
      </c>
      <c r="AY93" s="15" t="str">
        <f aca="false">IF(AY33="","",IF(AY71=D33,0,AX93-(G33-AY33)))</f>
        <v/>
      </c>
      <c r="AZ93" s="15" t="str">
        <f aca="false">IF(AZ33="","",IF(AZ71=D33,0,AY93-(G33-AZ33)))</f>
        <v/>
      </c>
      <c r="BA93" s="15" t="str">
        <f aca="false">IF(BA33="","",IF(BA71=D33,0,AZ93-(G33-BA33)))</f>
        <v/>
      </c>
      <c r="BB93" s="15" t="str">
        <f aca="false">IF(BB33="","",IF(BB71=D33,0,BA93-(G33-BB33)))</f>
        <v/>
      </c>
      <c r="BC93" s="15" t="str">
        <f aca="false">IF(BC33="","",IF(BC71=D33,0,BB93-(G33-BC33)))</f>
        <v/>
      </c>
      <c r="BD93" s="15" t="str">
        <f aca="false">IF(BD33="","",IF(BD71=D33,0,BC93-(G33-BD33)))</f>
        <v/>
      </c>
      <c r="BE93" s="15" t="str">
        <f aca="false">IF(BE33="","",IF(BE71=D33,0,BD93-(G33-BE33)))</f>
        <v/>
      </c>
      <c r="BF93" s="15" t="str">
        <f aca="false">IF(BF33="","",IF(BF71=D33,0,BE93-(G33-BF33)))</f>
        <v/>
      </c>
      <c r="BG93" s="15" t="str">
        <f aca="false">IF(BG33="","",IF(BG71=D33,0,BF93-(G33-BG33)))</f>
        <v/>
      </c>
      <c r="BH93" s="15" t="str">
        <f aca="false">IF(BH33="","",IF(BH71=D33,0,BG93-(G33-BH33)))</f>
        <v/>
      </c>
      <c r="BI93" s="15" t="str">
        <f aca="false">IF(BI33="","",IF(BI71=D33,0,BH93-(G33-BI33)))</f>
        <v/>
      </c>
      <c r="BJ93" s="15" t="str">
        <f aca="false">IF(BJ33="","",IF(BJ71=D33,0,BI93-(G33-BJ33)))</f>
        <v/>
      </c>
      <c r="BK93" s="15" t="str">
        <f aca="false">IF(BK33="","",IF(BK71=D33,0,BJ93-(G33-BK33)))</f>
        <v/>
      </c>
      <c r="BL93" s="15" t="str">
        <f aca="false">IF(BL33="","",IF(BL71=D33,0,BK93-(G33-BL33)))</f>
        <v/>
      </c>
      <c r="BM93" s="15" t="str">
        <f aca="false">IF(BM33="","",IF(BM71=D33,0,BL93-(G33-BM33)))</f>
        <v/>
      </c>
      <c r="BN93" s="15" t="str">
        <f aca="false">IF(BN33="","",IF(BN71=D33,0,BM93-(G33-BN33)))</f>
        <v/>
      </c>
      <c r="BO93" s="15" t="str">
        <f aca="false">IF(BO33="","",IF(BO71=D33,0,BN93-(G33-BO33)))</f>
        <v/>
      </c>
      <c r="BP93" s="15" t="str">
        <f aca="false">IF(BP33="","",IF(BP71=D33,0,BO93-(G33-BP33)))</f>
        <v/>
      </c>
    </row>
    <row r="94" customFormat="false" ht="15" hidden="false" customHeight="false" outlineLevel="0" collapsed="false">
      <c r="A94" s="29" t="str">
        <f aca="false">A34</f>
        <v/>
      </c>
      <c r="B94" s="29" t="str">
        <f aca="false">B34</f>
        <v/>
      </c>
      <c r="C94" s="29" t="str">
        <f aca="false">C34</f>
        <v/>
      </c>
      <c r="D94" s="16" t="str">
        <f aca="false">D34</f>
        <v/>
      </c>
      <c r="E94" s="17" t="str">
        <f aca="false">E34</f>
        <v/>
      </c>
      <c r="F94" s="15" t="str">
        <f aca="false">F34</f>
        <v/>
      </c>
      <c r="G94" s="15" t="str">
        <f aca="false">G34</f>
        <v/>
      </c>
      <c r="I94" s="15" t="str">
        <f aca="false">IF(I34="","",IF(I71=D34,0,F34-(G34-I34)))</f>
        <v/>
      </c>
      <c r="J94" s="15" t="str">
        <f aca="false">IF(J34="","",IF(J71=D34,0,I94-(G34-J34)))</f>
        <v/>
      </c>
      <c r="K94" s="15" t="str">
        <f aca="false">IF(K34="","",IF(K71=D34,0,J94-(G34-K34)))</f>
        <v/>
      </c>
      <c r="L94" s="15" t="str">
        <f aca="false">IF(L34="","",IF(L71=D34,0,K94-(G34-L34)))</f>
        <v/>
      </c>
      <c r="M94" s="15" t="str">
        <f aca="false">IF(M34="","",IF(M71=D34,0,L94-(G34-M34)))</f>
        <v/>
      </c>
      <c r="N94" s="15" t="str">
        <f aca="false">IF(N34="","",IF(N71=D34,0,M94-(G34-N34)))</f>
        <v/>
      </c>
      <c r="O94" s="15" t="str">
        <f aca="false">IF(O34="","",IF(O71=D34,0,N94-(G34-O34)))</f>
        <v/>
      </c>
      <c r="P94" s="15" t="str">
        <f aca="false">IF(P34="","",IF(P71=D34,0,O94-(G34-P34)))</f>
        <v/>
      </c>
      <c r="Q94" s="15" t="str">
        <f aca="false">IF(Q34="","",IF(Q71=D34,0,P94-(G34-Q34)))</f>
        <v/>
      </c>
      <c r="R94" s="15" t="str">
        <f aca="false">IF(R34="","",IF(R71=D34,0,Q94-(G34-R34)))</f>
        <v/>
      </c>
      <c r="S94" s="15" t="str">
        <f aca="false">IF(S34="","",IF(S71=D34,0,R94-(G34-S34)))</f>
        <v/>
      </c>
      <c r="T94" s="15" t="str">
        <f aca="false">IF(T34="","",IF(T71=D34,0,S94-(G34-T34)))</f>
        <v/>
      </c>
      <c r="U94" s="15" t="str">
        <f aca="false">IF(U34="","",IF(U71=D34,0,T94-(G34-U34)))</f>
        <v/>
      </c>
      <c r="V94" s="15" t="str">
        <f aca="false">IF(V34="","",IF(V71=D34,0,U94-(G34-V34)))</f>
        <v/>
      </c>
      <c r="W94" s="15" t="str">
        <f aca="false">IF(W34="","",IF(W71=D34,0,V94-(G34-W34)))</f>
        <v/>
      </c>
      <c r="X94" s="15" t="str">
        <f aca="false">IF(X34="","",IF(X71=D34,0,W94-(G34-X34)))</f>
        <v/>
      </c>
      <c r="Y94" s="15" t="str">
        <f aca="false">IF(Y34="","",IF(Y71=D34,0,X94-(G34-Y34)))</f>
        <v/>
      </c>
      <c r="Z94" s="15" t="str">
        <f aca="false">IF(Z34="","",IF(Z71=D34,0,Y94-(G34-Z34)))</f>
        <v/>
      </c>
      <c r="AA94" s="15" t="str">
        <f aca="false">IF(AA34="","",IF(AA71=D34,0,Z94-(G34-AA34)))</f>
        <v/>
      </c>
      <c r="AB94" s="15" t="str">
        <f aca="false">IF(AB34="","",IF(AB71=D34,0,AA94-(G34-AB34)))</f>
        <v/>
      </c>
      <c r="AC94" s="15" t="str">
        <f aca="false">IF(AC34="","",IF(AC71=D34,0,AB94-(G34-AC34)))</f>
        <v/>
      </c>
      <c r="AD94" s="15" t="str">
        <f aca="false">IF(AD34="","",IF(AD71=D34,0,AC94-(G34-AD34)))</f>
        <v/>
      </c>
      <c r="AE94" s="15" t="str">
        <f aca="false">IF(AE34="","",IF(AE71=D34,0,AD94-(G34-AE34)))</f>
        <v/>
      </c>
      <c r="AF94" s="15" t="str">
        <f aca="false">IF(AF34="","",IF(AF71=D34,0,AE94-(G34-AF34)))</f>
        <v/>
      </c>
      <c r="AG94" s="15" t="str">
        <f aca="false">IF(AG34="","",IF(AG71=D34,0,AF94-(G34-AG34)))</f>
        <v/>
      </c>
      <c r="AH94" s="15" t="str">
        <f aca="false">IF(AH34="","",IF(AH71=D34,0,AG94-(G34-AH34)))</f>
        <v/>
      </c>
      <c r="AI94" s="15" t="str">
        <f aca="false">IF(AI34="","",IF(AI71=D34,0,AH94-(G34-AI34)))</f>
        <v/>
      </c>
      <c r="AJ94" s="15" t="str">
        <f aca="false">IF(AJ34="","",IF(AJ71=D34,0,AI94-(G34-AJ34)))</f>
        <v/>
      </c>
      <c r="AK94" s="15" t="str">
        <f aca="false">IF(AK34="","",IF(AK71=D34,0,AJ94-(G34-AK34)))</f>
        <v/>
      </c>
      <c r="AL94" s="15" t="str">
        <f aca="false">IF(AL34="","",IF(AL71=D34,0,AK94-(G34-AL34)))</f>
        <v/>
      </c>
      <c r="AM94" s="15" t="str">
        <f aca="false">IF(AM34="","",IF(AM71=D34,0,AL94-(G34-AM34)))</f>
        <v/>
      </c>
      <c r="AN94" s="15" t="str">
        <f aca="false">IF(AN34="","",IF(AN71=D34,0,AM94-(G34-AN34)))</f>
        <v/>
      </c>
      <c r="AO94" s="15" t="str">
        <f aca="false">IF(AO34="","",IF(AO71=D34,0,AN94-(G34-AO34)))</f>
        <v/>
      </c>
      <c r="AP94" s="15" t="str">
        <f aca="false">IF(AP34="","",IF(AP71=D34,0,AO94-(G34-AP34)))</f>
        <v/>
      </c>
      <c r="AQ94" s="15" t="str">
        <f aca="false">IF(AQ34="","",IF(AQ71=D34,0,AP94-(G34-AQ34)))</f>
        <v/>
      </c>
      <c r="AR94" s="15" t="str">
        <f aca="false">IF(AR34="","",IF(AR71=D34,0,AQ94-(G34-AR34)))</f>
        <v/>
      </c>
      <c r="AS94" s="15" t="str">
        <f aca="false">IF(AS34="","",IF(AS71=D34,0,AR94-(G34-AS34)))</f>
        <v/>
      </c>
      <c r="AT94" s="15" t="str">
        <f aca="false">IF(AT34="","",IF(AT71=D34,0,AS94-(G34-AT34)))</f>
        <v/>
      </c>
      <c r="AU94" s="15" t="str">
        <f aca="false">IF(AU34="","",IF(AU71=D34,0,AT94-(G34-AU34)))</f>
        <v/>
      </c>
      <c r="AV94" s="15" t="str">
        <f aca="false">IF(AV34="","",IF(AV71=D34,0,AU94-(G34-AV34)))</f>
        <v/>
      </c>
      <c r="AW94" s="15" t="str">
        <f aca="false">IF(AW34="","",IF(AW71=D34,0,AV94-(G34-AW34)))</f>
        <v/>
      </c>
      <c r="AX94" s="15" t="str">
        <f aca="false">IF(AX34="","",IF(AX71=D34,0,AW94-(G34-AX34)))</f>
        <v/>
      </c>
      <c r="AY94" s="15" t="str">
        <f aca="false">IF(AY34="","",IF(AY71=D34,0,AX94-(G34-AY34)))</f>
        <v/>
      </c>
      <c r="AZ94" s="15" t="str">
        <f aca="false">IF(AZ34="","",IF(AZ71=D34,0,AY94-(G34-AZ34)))</f>
        <v/>
      </c>
      <c r="BA94" s="15" t="str">
        <f aca="false">IF(BA34="","",IF(BA71=D34,0,AZ94-(G34-BA34)))</f>
        <v/>
      </c>
      <c r="BB94" s="15" t="str">
        <f aca="false">IF(BB34="","",IF(BB71=D34,0,BA94-(G34-BB34)))</f>
        <v/>
      </c>
      <c r="BC94" s="15" t="str">
        <f aca="false">IF(BC34="","",IF(BC71=D34,0,BB94-(G34-BC34)))</f>
        <v/>
      </c>
      <c r="BD94" s="15" t="str">
        <f aca="false">IF(BD34="","",IF(BD71=D34,0,BC94-(G34-BD34)))</f>
        <v/>
      </c>
      <c r="BE94" s="15" t="str">
        <f aca="false">IF(BE34="","",IF(BE71=D34,0,BD94-(G34-BE34)))</f>
        <v/>
      </c>
      <c r="BF94" s="15" t="str">
        <f aca="false">IF(BF34="","",IF(BF71=D34,0,BE94-(G34-BF34)))</f>
        <v/>
      </c>
      <c r="BG94" s="15" t="str">
        <f aca="false">IF(BG34="","",IF(BG71=D34,0,BF94-(G34-BG34)))</f>
        <v/>
      </c>
      <c r="BH94" s="15" t="str">
        <f aca="false">IF(BH34="","",IF(BH71=D34,0,BG94-(G34-BH34)))</f>
        <v/>
      </c>
      <c r="BI94" s="15" t="str">
        <f aca="false">IF(BI34="","",IF(BI71=D34,0,BH94-(G34-BI34)))</f>
        <v/>
      </c>
      <c r="BJ94" s="15" t="str">
        <f aca="false">IF(BJ34="","",IF(BJ71=D34,0,BI94-(G34-BJ34)))</f>
        <v/>
      </c>
      <c r="BK94" s="15" t="str">
        <f aca="false">IF(BK34="","",IF(BK71=D34,0,BJ94-(G34-BK34)))</f>
        <v/>
      </c>
      <c r="BL94" s="15" t="str">
        <f aca="false">IF(BL34="","",IF(BL71=D34,0,BK94-(G34-BL34)))</f>
        <v/>
      </c>
      <c r="BM94" s="15" t="str">
        <f aca="false">IF(BM34="","",IF(BM71=D34,0,BL94-(G34-BM34)))</f>
        <v/>
      </c>
      <c r="BN94" s="15" t="str">
        <f aca="false">IF(BN34="","",IF(BN71=D34,0,BM94-(G34-BN34)))</f>
        <v/>
      </c>
      <c r="BO94" s="15" t="str">
        <f aca="false">IF(BO34="","",IF(BO71=D34,0,BN94-(G34-BO34)))</f>
        <v/>
      </c>
      <c r="BP94" s="15" t="str">
        <f aca="false">IF(BP34="","",IF(BP71=D34,0,BO94-(G34-BP34)))</f>
        <v/>
      </c>
    </row>
    <row r="95" customFormat="false" ht="15" hidden="false" customHeight="false" outlineLevel="0" collapsed="false">
      <c r="A95" s="29" t="str">
        <f aca="false">A35</f>
        <v/>
      </c>
      <c r="B95" s="29" t="str">
        <f aca="false">B35</f>
        <v/>
      </c>
      <c r="C95" s="29" t="str">
        <f aca="false">C35</f>
        <v/>
      </c>
      <c r="D95" s="16" t="str">
        <f aca="false">D35</f>
        <v/>
      </c>
      <c r="E95" s="17" t="str">
        <f aca="false">E35</f>
        <v/>
      </c>
      <c r="F95" s="15" t="str">
        <f aca="false">F35</f>
        <v/>
      </c>
      <c r="G95" s="15" t="str">
        <f aca="false">G35</f>
        <v/>
      </c>
      <c r="I95" s="15" t="str">
        <f aca="false">IF(I35="","",IF(I71=D35,0,F35-(G35-I35)))</f>
        <v/>
      </c>
      <c r="J95" s="15" t="str">
        <f aca="false">IF(J35="","",IF(J71=D35,0,I95-(G35-J35)))</f>
        <v/>
      </c>
      <c r="K95" s="15" t="str">
        <f aca="false">IF(K35="","",IF(K71=D35,0,J95-(G35-K35)))</f>
        <v/>
      </c>
      <c r="L95" s="15" t="str">
        <f aca="false">IF(L35="","",IF(L71=D35,0,K95-(G35-L35)))</f>
        <v/>
      </c>
      <c r="M95" s="15" t="str">
        <f aca="false">IF(M35="","",IF(M71=D35,0,L95-(G35-M35)))</f>
        <v/>
      </c>
      <c r="N95" s="15" t="str">
        <f aca="false">IF(N35="","",IF(N71=D35,0,M95-(G35-N35)))</f>
        <v/>
      </c>
      <c r="O95" s="15" t="str">
        <f aca="false">IF(O35="","",IF(O71=D35,0,N95-(G35-O35)))</f>
        <v/>
      </c>
      <c r="P95" s="15" t="str">
        <f aca="false">IF(P35="","",IF(P71=D35,0,O95-(G35-P35)))</f>
        <v/>
      </c>
      <c r="Q95" s="15" t="str">
        <f aca="false">IF(Q35="","",IF(Q71=D35,0,P95-(G35-Q35)))</f>
        <v/>
      </c>
      <c r="R95" s="15" t="str">
        <f aca="false">IF(R35="","",IF(R71=D35,0,Q95-(G35-R35)))</f>
        <v/>
      </c>
      <c r="S95" s="15" t="str">
        <f aca="false">IF(S35="","",IF(S71=D35,0,R95-(G35-S35)))</f>
        <v/>
      </c>
      <c r="T95" s="15" t="str">
        <f aca="false">IF(T35="","",IF(T71=D35,0,S95-(G35-T35)))</f>
        <v/>
      </c>
      <c r="U95" s="15" t="str">
        <f aca="false">IF(U35="","",IF(U71=D35,0,T95-(G35-U35)))</f>
        <v/>
      </c>
      <c r="V95" s="15" t="str">
        <f aca="false">IF(V35="","",IF(V71=D35,0,U95-(G35-V35)))</f>
        <v/>
      </c>
      <c r="W95" s="15" t="str">
        <f aca="false">IF(W35="","",IF(W71=D35,0,V95-(G35-W35)))</f>
        <v/>
      </c>
      <c r="X95" s="15" t="str">
        <f aca="false">IF(X35="","",IF(X71=D35,0,W95-(G35-X35)))</f>
        <v/>
      </c>
      <c r="Y95" s="15" t="str">
        <f aca="false">IF(Y35="","",IF(Y71=D35,0,X95-(G35-Y35)))</f>
        <v/>
      </c>
      <c r="Z95" s="15" t="str">
        <f aca="false">IF(Z35="","",IF(Z71=D35,0,Y95-(G35-Z35)))</f>
        <v/>
      </c>
      <c r="AA95" s="15" t="str">
        <f aca="false">IF(AA35="","",IF(AA71=D35,0,Z95-(G35-AA35)))</f>
        <v/>
      </c>
      <c r="AB95" s="15" t="str">
        <f aca="false">IF(AB35="","",IF(AB71=D35,0,AA95-(G35-AB35)))</f>
        <v/>
      </c>
      <c r="AC95" s="15" t="str">
        <f aca="false">IF(AC35="","",IF(AC71=D35,0,AB95-(G35-AC35)))</f>
        <v/>
      </c>
      <c r="AD95" s="15" t="str">
        <f aca="false">IF(AD35="","",IF(AD71=D35,0,AC95-(G35-AD35)))</f>
        <v/>
      </c>
      <c r="AE95" s="15" t="str">
        <f aca="false">IF(AE35="","",IF(AE71=D35,0,AD95-(G35-AE35)))</f>
        <v/>
      </c>
      <c r="AF95" s="15" t="str">
        <f aca="false">IF(AF35="","",IF(AF71=D35,0,AE95-(G35-AF35)))</f>
        <v/>
      </c>
      <c r="AG95" s="15" t="str">
        <f aca="false">IF(AG35="","",IF(AG71=D35,0,AF95-(G35-AG35)))</f>
        <v/>
      </c>
      <c r="AH95" s="15" t="str">
        <f aca="false">IF(AH35="","",IF(AH71=D35,0,AG95-(G35-AH35)))</f>
        <v/>
      </c>
      <c r="AI95" s="15" t="str">
        <f aca="false">IF(AI35="","",IF(AI71=D35,0,AH95-(G35-AI35)))</f>
        <v/>
      </c>
      <c r="AJ95" s="15" t="str">
        <f aca="false">IF(AJ35="","",IF(AJ71=D35,0,AI95-(G35-AJ35)))</f>
        <v/>
      </c>
      <c r="AK95" s="15" t="str">
        <f aca="false">IF(AK35="","",IF(AK71=D35,0,AJ95-(G35-AK35)))</f>
        <v/>
      </c>
      <c r="AL95" s="15" t="str">
        <f aca="false">IF(AL35="","",IF(AL71=D35,0,AK95-(G35-AL35)))</f>
        <v/>
      </c>
      <c r="AM95" s="15" t="str">
        <f aca="false">IF(AM35="","",IF(AM71=D35,0,AL95-(G35-AM35)))</f>
        <v/>
      </c>
      <c r="AN95" s="15" t="str">
        <f aca="false">IF(AN35="","",IF(AN71=D35,0,AM95-(G35-AN35)))</f>
        <v/>
      </c>
      <c r="AO95" s="15" t="str">
        <f aca="false">IF(AO35="","",IF(AO71=D35,0,AN95-(G35-AO35)))</f>
        <v/>
      </c>
      <c r="AP95" s="15" t="str">
        <f aca="false">IF(AP35="","",IF(AP71=D35,0,AO95-(G35-AP35)))</f>
        <v/>
      </c>
      <c r="AQ95" s="15" t="str">
        <f aca="false">IF(AQ35="","",IF(AQ71=D35,0,AP95-(G35-AQ35)))</f>
        <v/>
      </c>
      <c r="AR95" s="15" t="str">
        <f aca="false">IF(AR35="","",IF(AR71=D35,0,AQ95-(G35-AR35)))</f>
        <v/>
      </c>
      <c r="AS95" s="15" t="str">
        <f aca="false">IF(AS35="","",IF(AS71=D35,0,AR95-(G35-AS35)))</f>
        <v/>
      </c>
      <c r="AT95" s="15" t="str">
        <f aca="false">IF(AT35="","",IF(AT71=D35,0,AS95-(G35-AT35)))</f>
        <v/>
      </c>
      <c r="AU95" s="15" t="str">
        <f aca="false">IF(AU35="","",IF(AU71=D35,0,AT95-(G35-AU35)))</f>
        <v/>
      </c>
      <c r="AV95" s="15" t="str">
        <f aca="false">IF(AV35="","",IF(AV71=D35,0,AU95-(G35-AV35)))</f>
        <v/>
      </c>
      <c r="AW95" s="15" t="str">
        <f aca="false">IF(AW35="","",IF(AW71=D35,0,AV95-(G35-AW35)))</f>
        <v/>
      </c>
      <c r="AX95" s="15" t="str">
        <f aca="false">IF(AX35="","",IF(AX71=D35,0,AW95-(G35-AX35)))</f>
        <v/>
      </c>
      <c r="AY95" s="15" t="str">
        <f aca="false">IF(AY35="","",IF(AY71=D35,0,AX95-(G35-AY35)))</f>
        <v/>
      </c>
      <c r="AZ95" s="15" t="str">
        <f aca="false">IF(AZ35="","",IF(AZ71=D35,0,AY95-(G35-AZ35)))</f>
        <v/>
      </c>
      <c r="BA95" s="15" t="str">
        <f aca="false">IF(BA35="","",IF(BA71=D35,0,AZ95-(G35-BA35)))</f>
        <v/>
      </c>
      <c r="BB95" s="15" t="str">
        <f aca="false">IF(BB35="","",IF(BB71=D35,0,BA95-(G35-BB35)))</f>
        <v/>
      </c>
      <c r="BC95" s="15" t="str">
        <f aca="false">IF(BC35="","",IF(BC71=D35,0,BB95-(G35-BC35)))</f>
        <v/>
      </c>
      <c r="BD95" s="15" t="str">
        <f aca="false">IF(BD35="","",IF(BD71=D35,0,BC95-(G35-BD35)))</f>
        <v/>
      </c>
      <c r="BE95" s="15" t="str">
        <f aca="false">IF(BE35="","",IF(BE71=D35,0,BD95-(G35-BE35)))</f>
        <v/>
      </c>
      <c r="BF95" s="15" t="str">
        <f aca="false">IF(BF35="","",IF(BF71=D35,0,BE95-(G35-BF35)))</f>
        <v/>
      </c>
      <c r="BG95" s="15" t="str">
        <f aca="false">IF(BG35="","",IF(BG71=D35,0,BF95-(G35-BG35)))</f>
        <v/>
      </c>
      <c r="BH95" s="15" t="str">
        <f aca="false">IF(BH35="","",IF(BH71=D35,0,BG95-(G35-BH35)))</f>
        <v/>
      </c>
      <c r="BI95" s="15" t="str">
        <f aca="false">IF(BI35="","",IF(BI71=D35,0,BH95-(G35-BI35)))</f>
        <v/>
      </c>
      <c r="BJ95" s="15" t="str">
        <f aca="false">IF(BJ35="","",IF(BJ71=D35,0,BI95-(G35-BJ35)))</f>
        <v/>
      </c>
      <c r="BK95" s="15" t="str">
        <f aca="false">IF(BK35="","",IF(BK71=D35,0,BJ95-(G35-BK35)))</f>
        <v/>
      </c>
      <c r="BL95" s="15" t="str">
        <f aca="false">IF(BL35="","",IF(BL71=D35,0,BK95-(G35-BL35)))</f>
        <v/>
      </c>
      <c r="BM95" s="15" t="str">
        <f aca="false">IF(BM35="","",IF(BM71=D35,0,BL95-(G35-BM35)))</f>
        <v/>
      </c>
      <c r="BN95" s="15" t="str">
        <f aca="false">IF(BN35="","",IF(BN71=D35,0,BM95-(G35-BN35)))</f>
        <v/>
      </c>
      <c r="BO95" s="15" t="str">
        <f aca="false">IF(BO35="","",IF(BO71=D35,0,BN95-(G35-BO35)))</f>
        <v/>
      </c>
      <c r="BP95" s="15" t="str">
        <f aca="false">IF(BP35="","",IF(BP71=D35,0,BO95-(G35-BP35)))</f>
        <v/>
      </c>
    </row>
    <row r="96" customFormat="false" ht="15" hidden="false" customHeight="false" outlineLevel="0" collapsed="false">
      <c r="A96" s="29" t="str">
        <f aca="false">A36</f>
        <v/>
      </c>
      <c r="B96" s="29" t="str">
        <f aca="false">B36</f>
        <v/>
      </c>
      <c r="C96" s="29" t="str">
        <f aca="false">C36</f>
        <v/>
      </c>
      <c r="D96" s="16" t="str">
        <f aca="false">D36</f>
        <v/>
      </c>
      <c r="E96" s="17" t="str">
        <f aca="false">E36</f>
        <v/>
      </c>
      <c r="F96" s="15" t="str">
        <f aca="false">F36</f>
        <v/>
      </c>
      <c r="G96" s="15" t="str">
        <f aca="false">G36</f>
        <v/>
      </c>
      <c r="I96" s="15" t="str">
        <f aca="false">IF(I36="","",IF(I71=D36,0,F36-(G36-I36)))</f>
        <v/>
      </c>
      <c r="J96" s="15" t="str">
        <f aca="false">IF(J36="","",IF(J71=D36,0,I96-(G36-J36)))</f>
        <v/>
      </c>
      <c r="K96" s="15" t="str">
        <f aca="false">IF(K36="","",IF(K71=D36,0,J96-(G36-K36)))</f>
        <v/>
      </c>
      <c r="L96" s="15" t="str">
        <f aca="false">IF(L36="","",IF(L71=D36,0,K96-(G36-L36)))</f>
        <v/>
      </c>
      <c r="M96" s="15" t="str">
        <f aca="false">IF(M36="","",IF(M71=D36,0,L96-(G36-M36)))</f>
        <v/>
      </c>
      <c r="N96" s="15" t="str">
        <f aca="false">IF(N36="","",IF(N71=D36,0,M96-(G36-N36)))</f>
        <v/>
      </c>
      <c r="O96" s="15" t="str">
        <f aca="false">IF(O36="","",IF(O71=D36,0,N96-(G36-O36)))</f>
        <v/>
      </c>
      <c r="P96" s="15" t="str">
        <f aca="false">IF(P36="","",IF(P71=D36,0,O96-(G36-P36)))</f>
        <v/>
      </c>
      <c r="Q96" s="15" t="str">
        <f aca="false">IF(Q36="","",IF(Q71=D36,0,P96-(G36-Q36)))</f>
        <v/>
      </c>
      <c r="R96" s="15" t="str">
        <f aca="false">IF(R36="","",IF(R71=D36,0,Q96-(G36-R36)))</f>
        <v/>
      </c>
      <c r="S96" s="15" t="str">
        <f aca="false">IF(S36="","",IF(S71=D36,0,R96-(G36-S36)))</f>
        <v/>
      </c>
      <c r="T96" s="15" t="str">
        <f aca="false">IF(T36="","",IF(T71=D36,0,S96-(G36-T36)))</f>
        <v/>
      </c>
      <c r="U96" s="15" t="str">
        <f aca="false">IF(U36="","",IF(U71=D36,0,T96-(G36-U36)))</f>
        <v/>
      </c>
      <c r="V96" s="15" t="str">
        <f aca="false">IF(V36="","",IF(V71=D36,0,U96-(G36-V36)))</f>
        <v/>
      </c>
      <c r="W96" s="15" t="str">
        <f aca="false">IF(W36="","",IF(W71=D36,0,V96-(G36-W36)))</f>
        <v/>
      </c>
      <c r="X96" s="15" t="str">
        <f aca="false">IF(X36="","",IF(X71=D36,0,W96-(G36-X36)))</f>
        <v/>
      </c>
      <c r="Y96" s="15" t="str">
        <f aca="false">IF(Y36="","",IF(Y71=D36,0,X96-(G36-Y36)))</f>
        <v/>
      </c>
      <c r="Z96" s="15" t="str">
        <f aca="false">IF(Z36="","",IF(Z71=D36,0,Y96-(G36-Z36)))</f>
        <v/>
      </c>
      <c r="AA96" s="15" t="str">
        <f aca="false">IF(AA36="","",IF(AA71=D36,0,Z96-(G36-AA36)))</f>
        <v/>
      </c>
      <c r="AB96" s="15" t="str">
        <f aca="false">IF(AB36="","",IF(AB71=D36,0,AA96-(G36-AB36)))</f>
        <v/>
      </c>
      <c r="AC96" s="15" t="str">
        <f aca="false">IF(AC36="","",IF(AC71=D36,0,AB96-(G36-AC36)))</f>
        <v/>
      </c>
      <c r="AD96" s="15" t="str">
        <f aca="false">IF(AD36="","",IF(AD71=D36,0,AC96-(G36-AD36)))</f>
        <v/>
      </c>
      <c r="AE96" s="15" t="str">
        <f aca="false">IF(AE36="","",IF(AE71=D36,0,AD96-(G36-AE36)))</f>
        <v/>
      </c>
      <c r="AF96" s="15" t="str">
        <f aca="false">IF(AF36="","",IF(AF71=D36,0,AE96-(G36-AF36)))</f>
        <v/>
      </c>
      <c r="AG96" s="15" t="str">
        <f aca="false">IF(AG36="","",IF(AG71=D36,0,AF96-(G36-AG36)))</f>
        <v/>
      </c>
      <c r="AH96" s="15" t="str">
        <f aca="false">IF(AH36="","",IF(AH71=D36,0,AG96-(G36-AH36)))</f>
        <v/>
      </c>
      <c r="AI96" s="15" t="str">
        <f aca="false">IF(AI36="","",IF(AI71=D36,0,AH96-(G36-AI36)))</f>
        <v/>
      </c>
      <c r="AJ96" s="15" t="str">
        <f aca="false">IF(AJ36="","",IF(AJ71=D36,0,AI96-(G36-AJ36)))</f>
        <v/>
      </c>
      <c r="AK96" s="15" t="str">
        <f aca="false">IF(AK36="","",IF(AK71=D36,0,AJ96-(G36-AK36)))</f>
        <v/>
      </c>
      <c r="AL96" s="15" t="str">
        <f aca="false">IF(AL36="","",IF(AL71=D36,0,AK96-(G36-AL36)))</f>
        <v/>
      </c>
      <c r="AM96" s="15" t="str">
        <f aca="false">IF(AM36="","",IF(AM71=D36,0,AL96-(G36-AM36)))</f>
        <v/>
      </c>
      <c r="AN96" s="15" t="str">
        <f aca="false">IF(AN36="","",IF(AN71=D36,0,AM96-(G36-AN36)))</f>
        <v/>
      </c>
      <c r="AO96" s="15" t="str">
        <f aca="false">IF(AO36="","",IF(AO71=D36,0,AN96-(G36-AO36)))</f>
        <v/>
      </c>
      <c r="AP96" s="15" t="str">
        <f aca="false">IF(AP36="","",IF(AP71=D36,0,AO96-(G36-AP36)))</f>
        <v/>
      </c>
      <c r="AQ96" s="15" t="str">
        <f aca="false">IF(AQ36="","",IF(AQ71=D36,0,AP96-(G36-AQ36)))</f>
        <v/>
      </c>
      <c r="AR96" s="15" t="str">
        <f aca="false">IF(AR36="","",IF(AR71=D36,0,AQ96-(G36-AR36)))</f>
        <v/>
      </c>
      <c r="AS96" s="15" t="str">
        <f aca="false">IF(AS36="","",IF(AS71=D36,0,AR96-(G36-AS36)))</f>
        <v/>
      </c>
      <c r="AT96" s="15" t="str">
        <f aca="false">IF(AT36="","",IF(AT71=D36,0,AS96-(G36-AT36)))</f>
        <v/>
      </c>
      <c r="AU96" s="15" t="str">
        <f aca="false">IF(AU36="","",IF(AU71=D36,0,AT96-(G36-AU36)))</f>
        <v/>
      </c>
      <c r="AV96" s="15" t="str">
        <f aca="false">IF(AV36="","",IF(AV71=D36,0,AU96-(G36-AV36)))</f>
        <v/>
      </c>
      <c r="AW96" s="15" t="str">
        <f aca="false">IF(AW36="","",IF(AW71=D36,0,AV96-(G36-AW36)))</f>
        <v/>
      </c>
      <c r="AX96" s="15" t="str">
        <f aca="false">IF(AX36="","",IF(AX71=D36,0,AW96-(G36-AX36)))</f>
        <v/>
      </c>
      <c r="AY96" s="15" t="str">
        <f aca="false">IF(AY36="","",IF(AY71=D36,0,AX96-(G36-AY36)))</f>
        <v/>
      </c>
      <c r="AZ96" s="15" t="str">
        <f aca="false">IF(AZ36="","",IF(AZ71=D36,0,AY96-(G36-AZ36)))</f>
        <v/>
      </c>
      <c r="BA96" s="15" t="str">
        <f aca="false">IF(BA36="","",IF(BA71=D36,0,AZ96-(G36-BA36)))</f>
        <v/>
      </c>
      <c r="BB96" s="15" t="str">
        <f aca="false">IF(BB36="","",IF(BB71=D36,0,BA96-(G36-BB36)))</f>
        <v/>
      </c>
      <c r="BC96" s="15" t="str">
        <f aca="false">IF(BC36="","",IF(BC71=D36,0,BB96-(G36-BC36)))</f>
        <v/>
      </c>
      <c r="BD96" s="15" t="str">
        <f aca="false">IF(BD36="","",IF(BD71=D36,0,BC96-(G36-BD36)))</f>
        <v/>
      </c>
      <c r="BE96" s="15" t="str">
        <f aca="false">IF(BE36="","",IF(BE71=D36,0,BD96-(G36-BE36)))</f>
        <v/>
      </c>
      <c r="BF96" s="15" t="str">
        <f aca="false">IF(BF36="","",IF(BF71=D36,0,BE96-(G36-BF36)))</f>
        <v/>
      </c>
      <c r="BG96" s="15" t="str">
        <f aca="false">IF(BG36="","",IF(BG71=D36,0,BF96-(G36-BG36)))</f>
        <v/>
      </c>
      <c r="BH96" s="15" t="str">
        <f aca="false">IF(BH36="","",IF(BH71=D36,0,BG96-(G36-BH36)))</f>
        <v/>
      </c>
      <c r="BI96" s="15" t="str">
        <f aca="false">IF(BI36="","",IF(BI71=D36,0,BH96-(G36-BI36)))</f>
        <v/>
      </c>
      <c r="BJ96" s="15" t="str">
        <f aca="false">IF(BJ36="","",IF(BJ71=D36,0,BI96-(G36-BJ36)))</f>
        <v/>
      </c>
      <c r="BK96" s="15" t="str">
        <f aca="false">IF(BK36="","",IF(BK71=D36,0,BJ96-(G36-BK36)))</f>
        <v/>
      </c>
      <c r="BL96" s="15" t="str">
        <f aca="false">IF(BL36="","",IF(BL71=D36,0,BK96-(G36-BL36)))</f>
        <v/>
      </c>
      <c r="BM96" s="15" t="str">
        <f aca="false">IF(BM36="","",IF(BM71=D36,0,BL96-(G36-BM36)))</f>
        <v/>
      </c>
      <c r="BN96" s="15" t="str">
        <f aca="false">IF(BN36="","",IF(BN71=D36,0,BM96-(G36-BN36)))</f>
        <v/>
      </c>
      <c r="BO96" s="15" t="str">
        <f aca="false">IF(BO36="","",IF(BO71=D36,0,BN96-(G36-BO36)))</f>
        <v/>
      </c>
      <c r="BP96" s="15" t="str">
        <f aca="false">IF(BP36="","",IF(BP71=D36,0,BO96-(G36-BP36)))</f>
        <v/>
      </c>
    </row>
    <row r="97" customFormat="false" ht="15" hidden="false" customHeight="false" outlineLevel="0" collapsed="false">
      <c r="A97" s="29" t="str">
        <f aca="false">A37</f>
        <v/>
      </c>
      <c r="B97" s="29" t="str">
        <f aca="false">B37</f>
        <v/>
      </c>
      <c r="C97" s="29" t="str">
        <f aca="false">C37</f>
        <v/>
      </c>
      <c r="D97" s="16" t="str">
        <f aca="false">D37</f>
        <v/>
      </c>
      <c r="E97" s="17" t="str">
        <f aca="false">E37</f>
        <v/>
      </c>
      <c r="F97" s="15" t="str">
        <f aca="false">F37</f>
        <v/>
      </c>
      <c r="G97" s="15" t="str">
        <f aca="false">G37</f>
        <v/>
      </c>
      <c r="I97" s="15" t="str">
        <f aca="false">IF(I37="","",IF(I71=D37,0,F37-(G37-I37)))</f>
        <v/>
      </c>
      <c r="J97" s="15" t="str">
        <f aca="false">IF(J37="","",IF(J71=D37,0,I97-(G37-J37)))</f>
        <v/>
      </c>
      <c r="K97" s="15" t="str">
        <f aca="false">IF(K37="","",IF(K71=D37,0,J97-(G37-K37)))</f>
        <v/>
      </c>
      <c r="L97" s="15" t="str">
        <f aca="false">IF(L37="","",IF(L71=D37,0,K97-(G37-L37)))</f>
        <v/>
      </c>
      <c r="M97" s="15" t="str">
        <f aca="false">IF(M37="","",IF(M71=D37,0,L97-(G37-M37)))</f>
        <v/>
      </c>
      <c r="N97" s="15" t="str">
        <f aca="false">IF(N37="","",IF(N71=D37,0,M97-(G37-N37)))</f>
        <v/>
      </c>
      <c r="O97" s="15" t="str">
        <f aca="false">IF(O37="","",IF(O71=D37,0,N97-(G37-O37)))</f>
        <v/>
      </c>
      <c r="P97" s="15" t="str">
        <f aca="false">IF(P37="","",IF(P71=D37,0,O97-(G37-P37)))</f>
        <v/>
      </c>
      <c r="Q97" s="15" t="str">
        <f aca="false">IF(Q37="","",IF(Q71=D37,0,P97-(G37-Q37)))</f>
        <v/>
      </c>
      <c r="R97" s="15" t="str">
        <f aca="false">IF(R37="","",IF(R71=D37,0,Q97-(G37-R37)))</f>
        <v/>
      </c>
      <c r="S97" s="15" t="str">
        <f aca="false">IF(S37="","",IF(S71=D37,0,R97-(G37-S37)))</f>
        <v/>
      </c>
      <c r="T97" s="15" t="str">
        <f aca="false">IF(T37="","",IF(T71=D37,0,S97-(G37-T37)))</f>
        <v/>
      </c>
      <c r="U97" s="15" t="str">
        <f aca="false">IF(U37="","",IF(U71=D37,0,T97-(G37-U37)))</f>
        <v/>
      </c>
      <c r="V97" s="15" t="str">
        <f aca="false">IF(V37="","",IF(V71=D37,0,U97-(G37-V37)))</f>
        <v/>
      </c>
      <c r="W97" s="15" t="str">
        <f aca="false">IF(W37="","",IF(W71=D37,0,V97-(G37-W37)))</f>
        <v/>
      </c>
      <c r="X97" s="15" t="str">
        <f aca="false">IF(X37="","",IF(X71=D37,0,W97-(G37-X37)))</f>
        <v/>
      </c>
      <c r="Y97" s="15" t="str">
        <f aca="false">IF(Y37="","",IF(Y71=D37,0,X97-(G37-Y37)))</f>
        <v/>
      </c>
      <c r="Z97" s="15" t="str">
        <f aca="false">IF(Z37="","",IF(Z71=D37,0,Y97-(G37-Z37)))</f>
        <v/>
      </c>
      <c r="AA97" s="15" t="str">
        <f aca="false">IF(AA37="","",IF(AA71=D37,0,Z97-(G37-AA37)))</f>
        <v/>
      </c>
      <c r="AB97" s="15" t="str">
        <f aca="false">IF(AB37="","",IF(AB71=D37,0,AA97-(G37-AB37)))</f>
        <v/>
      </c>
      <c r="AC97" s="15" t="str">
        <f aca="false">IF(AC37="","",IF(AC71=D37,0,AB97-(G37-AC37)))</f>
        <v/>
      </c>
      <c r="AD97" s="15" t="str">
        <f aca="false">IF(AD37="","",IF(AD71=D37,0,AC97-(G37-AD37)))</f>
        <v/>
      </c>
      <c r="AE97" s="15" t="str">
        <f aca="false">IF(AE37="","",IF(AE71=D37,0,AD97-(G37-AE37)))</f>
        <v/>
      </c>
      <c r="AF97" s="15" t="str">
        <f aca="false">IF(AF37="","",IF(AF71=D37,0,AE97-(G37-AF37)))</f>
        <v/>
      </c>
      <c r="AG97" s="15" t="str">
        <f aca="false">IF(AG37="","",IF(AG71=D37,0,AF97-(G37-AG37)))</f>
        <v/>
      </c>
      <c r="AH97" s="15" t="str">
        <f aca="false">IF(AH37="","",IF(AH71=D37,0,AG97-(G37-AH37)))</f>
        <v/>
      </c>
      <c r="AI97" s="15" t="str">
        <f aca="false">IF(AI37="","",IF(AI71=D37,0,AH97-(G37-AI37)))</f>
        <v/>
      </c>
      <c r="AJ97" s="15" t="str">
        <f aca="false">IF(AJ37="","",IF(AJ71=D37,0,AI97-(G37-AJ37)))</f>
        <v/>
      </c>
      <c r="AK97" s="15" t="str">
        <f aca="false">IF(AK37="","",IF(AK71=D37,0,AJ97-(G37-AK37)))</f>
        <v/>
      </c>
      <c r="AL97" s="15" t="str">
        <f aca="false">IF(AL37="","",IF(AL71=D37,0,AK97-(G37-AL37)))</f>
        <v/>
      </c>
      <c r="AM97" s="15" t="str">
        <f aca="false">IF(AM37="","",IF(AM71=D37,0,AL97-(G37-AM37)))</f>
        <v/>
      </c>
      <c r="AN97" s="15" t="str">
        <f aca="false">IF(AN37="","",IF(AN71=D37,0,AM97-(G37-AN37)))</f>
        <v/>
      </c>
      <c r="AO97" s="15" t="str">
        <f aca="false">IF(AO37="","",IF(AO71=D37,0,AN97-(G37-AO37)))</f>
        <v/>
      </c>
      <c r="AP97" s="15" t="str">
        <f aca="false">IF(AP37="","",IF(AP71=D37,0,AO97-(G37-AP37)))</f>
        <v/>
      </c>
      <c r="AQ97" s="15" t="str">
        <f aca="false">IF(AQ37="","",IF(AQ71=D37,0,AP97-(G37-AQ37)))</f>
        <v/>
      </c>
      <c r="AR97" s="15" t="str">
        <f aca="false">IF(AR37="","",IF(AR71=D37,0,AQ97-(G37-AR37)))</f>
        <v/>
      </c>
      <c r="AS97" s="15" t="str">
        <f aca="false">IF(AS37="","",IF(AS71=D37,0,AR97-(G37-AS37)))</f>
        <v/>
      </c>
      <c r="AT97" s="15" t="str">
        <f aca="false">IF(AT37="","",IF(AT71=D37,0,AS97-(G37-AT37)))</f>
        <v/>
      </c>
      <c r="AU97" s="15" t="str">
        <f aca="false">IF(AU37="","",IF(AU71=D37,0,AT97-(G37-AU37)))</f>
        <v/>
      </c>
      <c r="AV97" s="15" t="str">
        <f aca="false">IF(AV37="","",IF(AV71=D37,0,AU97-(G37-AV37)))</f>
        <v/>
      </c>
      <c r="AW97" s="15" t="str">
        <f aca="false">IF(AW37="","",IF(AW71=D37,0,AV97-(G37-AW37)))</f>
        <v/>
      </c>
      <c r="AX97" s="15" t="str">
        <f aca="false">IF(AX37="","",IF(AX71=D37,0,AW97-(G37-AX37)))</f>
        <v/>
      </c>
      <c r="AY97" s="15" t="str">
        <f aca="false">IF(AY37="","",IF(AY71=D37,0,AX97-(G37-AY37)))</f>
        <v/>
      </c>
      <c r="AZ97" s="15" t="str">
        <f aca="false">IF(AZ37="","",IF(AZ71=D37,0,AY97-(G37-AZ37)))</f>
        <v/>
      </c>
      <c r="BA97" s="15" t="str">
        <f aca="false">IF(BA37="","",IF(BA71=D37,0,AZ97-(G37-BA37)))</f>
        <v/>
      </c>
      <c r="BB97" s="15" t="str">
        <f aca="false">IF(BB37="","",IF(BB71=D37,0,BA97-(G37-BB37)))</f>
        <v/>
      </c>
      <c r="BC97" s="15" t="str">
        <f aca="false">IF(BC37="","",IF(BC71=D37,0,BB97-(G37-BC37)))</f>
        <v/>
      </c>
      <c r="BD97" s="15" t="str">
        <f aca="false">IF(BD37="","",IF(BD71=D37,0,BC97-(G37-BD37)))</f>
        <v/>
      </c>
      <c r="BE97" s="15" t="str">
        <f aca="false">IF(BE37="","",IF(BE71=D37,0,BD97-(G37-BE37)))</f>
        <v/>
      </c>
      <c r="BF97" s="15" t="str">
        <f aca="false">IF(BF37="","",IF(BF71=D37,0,BE97-(G37-BF37)))</f>
        <v/>
      </c>
      <c r="BG97" s="15" t="str">
        <f aca="false">IF(BG37="","",IF(BG71=D37,0,BF97-(G37-BG37)))</f>
        <v/>
      </c>
      <c r="BH97" s="15" t="str">
        <f aca="false">IF(BH37="","",IF(BH71=D37,0,BG97-(G37-BH37)))</f>
        <v/>
      </c>
      <c r="BI97" s="15" t="str">
        <f aca="false">IF(BI37="","",IF(BI71=D37,0,BH97-(G37-BI37)))</f>
        <v/>
      </c>
      <c r="BJ97" s="15" t="str">
        <f aca="false">IF(BJ37="","",IF(BJ71=D37,0,BI97-(G37-BJ37)))</f>
        <v/>
      </c>
      <c r="BK97" s="15" t="str">
        <f aca="false">IF(BK37="","",IF(BK71=D37,0,BJ97-(G37-BK37)))</f>
        <v/>
      </c>
      <c r="BL97" s="15" t="str">
        <f aca="false">IF(BL37="","",IF(BL71=D37,0,BK97-(G37-BL37)))</f>
        <v/>
      </c>
      <c r="BM97" s="15" t="str">
        <f aca="false">IF(BM37="","",IF(BM71=D37,0,BL97-(G37-BM37)))</f>
        <v/>
      </c>
      <c r="BN97" s="15" t="str">
        <f aca="false">IF(BN37="","",IF(BN71=D37,0,BM97-(G37-BN37)))</f>
        <v/>
      </c>
      <c r="BO97" s="15" t="str">
        <f aca="false">IF(BO37="","",IF(BO71=D37,0,BN97-(G37-BO37)))</f>
        <v/>
      </c>
      <c r="BP97" s="15" t="str">
        <f aca="false">IF(BP37="","",IF(BP71=D37,0,BO97-(G37-BP37)))</f>
        <v/>
      </c>
    </row>
    <row r="98" customFormat="false" ht="15" hidden="false" customHeight="false" outlineLevel="0" collapsed="false">
      <c r="A98" s="29" t="str">
        <f aca="false">A38</f>
        <v/>
      </c>
      <c r="B98" s="29" t="str">
        <f aca="false">B38</f>
        <v/>
      </c>
      <c r="C98" s="29" t="str">
        <f aca="false">C38</f>
        <v/>
      </c>
      <c r="D98" s="16" t="str">
        <f aca="false">D38</f>
        <v/>
      </c>
      <c r="E98" s="17" t="str">
        <f aca="false">E38</f>
        <v/>
      </c>
      <c r="F98" s="15" t="str">
        <f aca="false">F38</f>
        <v/>
      </c>
      <c r="G98" s="15" t="str">
        <f aca="false">G38</f>
        <v/>
      </c>
      <c r="I98" s="15" t="str">
        <f aca="false">IF(I38="","",IF(I71=D38,0,F38-(G38-I38)))</f>
        <v/>
      </c>
      <c r="J98" s="15" t="str">
        <f aca="false">IF(J38="","",IF(J71=D38,0,I98-(G38-J38)))</f>
        <v/>
      </c>
      <c r="K98" s="15" t="str">
        <f aca="false">IF(K38="","",IF(K71=D38,0,J98-(G38-K38)))</f>
        <v/>
      </c>
      <c r="L98" s="15" t="str">
        <f aca="false">IF(L38="","",IF(L71=D38,0,K98-(G38-L38)))</f>
        <v/>
      </c>
      <c r="M98" s="15" t="str">
        <f aca="false">IF(M38="","",IF(M71=D38,0,L98-(G38-M38)))</f>
        <v/>
      </c>
      <c r="N98" s="15" t="str">
        <f aca="false">IF(N38="","",IF(N71=D38,0,M98-(G38-N38)))</f>
        <v/>
      </c>
      <c r="O98" s="15" t="str">
        <f aca="false">IF(O38="","",IF(O71=D38,0,N98-(G38-O38)))</f>
        <v/>
      </c>
      <c r="P98" s="15" t="str">
        <f aca="false">IF(P38="","",IF(P71=D38,0,O98-(G38-P38)))</f>
        <v/>
      </c>
      <c r="Q98" s="15" t="str">
        <f aca="false">IF(Q38="","",IF(Q71=D38,0,P98-(G38-Q38)))</f>
        <v/>
      </c>
      <c r="R98" s="15" t="str">
        <f aca="false">IF(R38="","",IF(R71=D38,0,Q98-(G38-R38)))</f>
        <v/>
      </c>
      <c r="S98" s="15" t="str">
        <f aca="false">IF(S38="","",IF(S71=D38,0,R98-(G38-S38)))</f>
        <v/>
      </c>
      <c r="T98" s="15" t="str">
        <f aca="false">IF(T38="","",IF(T71=D38,0,S98-(G38-T38)))</f>
        <v/>
      </c>
      <c r="U98" s="15" t="str">
        <f aca="false">IF(U38="","",IF(U71=D38,0,T98-(G38-U38)))</f>
        <v/>
      </c>
      <c r="V98" s="15" t="str">
        <f aca="false">IF(V38="","",IF(V71=D38,0,U98-(G38-V38)))</f>
        <v/>
      </c>
      <c r="W98" s="15" t="str">
        <f aca="false">IF(W38="","",IF(W71=D38,0,V98-(G38-W38)))</f>
        <v/>
      </c>
      <c r="X98" s="15" t="str">
        <f aca="false">IF(X38="","",IF(X71=D38,0,W98-(G38-X38)))</f>
        <v/>
      </c>
      <c r="Y98" s="15" t="str">
        <f aca="false">IF(Y38="","",IF(Y71=D38,0,X98-(G38-Y38)))</f>
        <v/>
      </c>
      <c r="Z98" s="15" t="str">
        <f aca="false">IF(Z38="","",IF(Z71=D38,0,Y98-(G38-Z38)))</f>
        <v/>
      </c>
      <c r="AA98" s="15" t="str">
        <f aca="false">IF(AA38="","",IF(AA71=D38,0,Z98-(G38-AA38)))</f>
        <v/>
      </c>
      <c r="AB98" s="15" t="str">
        <f aca="false">IF(AB38="","",IF(AB71=D38,0,AA98-(G38-AB38)))</f>
        <v/>
      </c>
      <c r="AC98" s="15" t="str">
        <f aca="false">IF(AC38="","",IF(AC71=D38,0,AB98-(G38-AC38)))</f>
        <v/>
      </c>
      <c r="AD98" s="15" t="str">
        <f aca="false">IF(AD38="","",IF(AD71=D38,0,AC98-(G38-AD38)))</f>
        <v/>
      </c>
      <c r="AE98" s="15" t="str">
        <f aca="false">IF(AE38="","",IF(AE71=D38,0,AD98-(G38-AE38)))</f>
        <v/>
      </c>
      <c r="AF98" s="15" t="str">
        <f aca="false">IF(AF38="","",IF(AF71=D38,0,AE98-(G38-AF38)))</f>
        <v/>
      </c>
      <c r="AG98" s="15" t="str">
        <f aca="false">IF(AG38="","",IF(AG71=D38,0,AF98-(G38-AG38)))</f>
        <v/>
      </c>
      <c r="AH98" s="15" t="str">
        <f aca="false">IF(AH38="","",IF(AH71=D38,0,AG98-(G38-AH38)))</f>
        <v/>
      </c>
      <c r="AI98" s="15" t="str">
        <f aca="false">IF(AI38="","",IF(AI71=D38,0,AH98-(G38-AI38)))</f>
        <v/>
      </c>
      <c r="AJ98" s="15" t="str">
        <f aca="false">IF(AJ38="","",IF(AJ71=D38,0,AI98-(G38-AJ38)))</f>
        <v/>
      </c>
      <c r="AK98" s="15" t="str">
        <f aca="false">IF(AK38="","",IF(AK71=D38,0,AJ98-(G38-AK38)))</f>
        <v/>
      </c>
      <c r="AL98" s="15" t="str">
        <f aca="false">IF(AL38="","",IF(AL71=D38,0,AK98-(G38-AL38)))</f>
        <v/>
      </c>
      <c r="AM98" s="15" t="str">
        <f aca="false">IF(AM38="","",IF(AM71=D38,0,AL98-(G38-AM38)))</f>
        <v/>
      </c>
      <c r="AN98" s="15" t="str">
        <f aca="false">IF(AN38="","",IF(AN71=D38,0,AM98-(G38-AN38)))</f>
        <v/>
      </c>
      <c r="AO98" s="15" t="str">
        <f aca="false">IF(AO38="","",IF(AO71=D38,0,AN98-(G38-AO38)))</f>
        <v/>
      </c>
      <c r="AP98" s="15" t="str">
        <f aca="false">IF(AP38="","",IF(AP71=D38,0,AO98-(G38-AP38)))</f>
        <v/>
      </c>
      <c r="AQ98" s="15" t="str">
        <f aca="false">IF(AQ38="","",IF(AQ71=D38,0,AP98-(G38-AQ38)))</f>
        <v/>
      </c>
      <c r="AR98" s="15" t="str">
        <f aca="false">IF(AR38="","",IF(AR71=D38,0,AQ98-(G38-AR38)))</f>
        <v/>
      </c>
      <c r="AS98" s="15" t="str">
        <f aca="false">IF(AS38="","",IF(AS71=D38,0,AR98-(G38-AS38)))</f>
        <v/>
      </c>
      <c r="AT98" s="15" t="str">
        <f aca="false">IF(AT38="","",IF(AT71=D38,0,AS98-(G38-AT38)))</f>
        <v/>
      </c>
      <c r="AU98" s="15" t="str">
        <f aca="false">IF(AU38="","",IF(AU71=D38,0,AT98-(G38-AU38)))</f>
        <v/>
      </c>
      <c r="AV98" s="15" t="str">
        <f aca="false">IF(AV38="","",IF(AV71=D38,0,AU98-(G38-AV38)))</f>
        <v/>
      </c>
      <c r="AW98" s="15" t="str">
        <f aca="false">IF(AW38="","",IF(AW71=D38,0,AV98-(G38-AW38)))</f>
        <v/>
      </c>
      <c r="AX98" s="15" t="str">
        <f aca="false">IF(AX38="","",IF(AX71=D38,0,AW98-(G38-AX38)))</f>
        <v/>
      </c>
      <c r="AY98" s="15" t="str">
        <f aca="false">IF(AY38="","",IF(AY71=D38,0,AX98-(G38-AY38)))</f>
        <v/>
      </c>
      <c r="AZ98" s="15" t="str">
        <f aca="false">IF(AZ38="","",IF(AZ71=D38,0,AY98-(G38-AZ38)))</f>
        <v/>
      </c>
      <c r="BA98" s="15" t="str">
        <f aca="false">IF(BA38="","",IF(BA71=D38,0,AZ98-(G38-BA38)))</f>
        <v/>
      </c>
      <c r="BB98" s="15" t="str">
        <f aca="false">IF(BB38="","",IF(BB71=D38,0,BA98-(G38-BB38)))</f>
        <v/>
      </c>
      <c r="BC98" s="15" t="str">
        <f aca="false">IF(BC38="","",IF(BC71=D38,0,BB98-(G38-BC38)))</f>
        <v/>
      </c>
      <c r="BD98" s="15" t="str">
        <f aca="false">IF(BD38="","",IF(BD71=D38,0,BC98-(G38-BD38)))</f>
        <v/>
      </c>
      <c r="BE98" s="15" t="str">
        <f aca="false">IF(BE38="","",IF(BE71=D38,0,BD98-(G38-BE38)))</f>
        <v/>
      </c>
      <c r="BF98" s="15" t="str">
        <f aca="false">IF(BF38="","",IF(BF71=D38,0,BE98-(G38-BF38)))</f>
        <v/>
      </c>
      <c r="BG98" s="15" t="str">
        <f aca="false">IF(BG38="","",IF(BG71=D38,0,BF98-(G38-BG38)))</f>
        <v/>
      </c>
      <c r="BH98" s="15" t="str">
        <f aca="false">IF(BH38="","",IF(BH71=D38,0,BG98-(G38-BH38)))</f>
        <v/>
      </c>
      <c r="BI98" s="15" t="str">
        <f aca="false">IF(BI38="","",IF(BI71=D38,0,BH98-(G38-BI38)))</f>
        <v/>
      </c>
      <c r="BJ98" s="15" t="str">
        <f aca="false">IF(BJ38="","",IF(BJ71=D38,0,BI98-(G38-BJ38)))</f>
        <v/>
      </c>
      <c r="BK98" s="15" t="str">
        <f aca="false">IF(BK38="","",IF(BK71=D38,0,BJ98-(G38-BK38)))</f>
        <v/>
      </c>
      <c r="BL98" s="15" t="str">
        <f aca="false">IF(BL38="","",IF(BL71=D38,0,BK98-(G38-BL38)))</f>
        <v/>
      </c>
      <c r="BM98" s="15" t="str">
        <f aca="false">IF(BM38="","",IF(BM71=D38,0,BL98-(G38-BM38)))</f>
        <v/>
      </c>
      <c r="BN98" s="15" t="str">
        <f aca="false">IF(BN38="","",IF(BN71=D38,0,BM98-(G38-BN38)))</f>
        <v/>
      </c>
      <c r="BO98" s="15" t="str">
        <f aca="false">IF(BO38="","",IF(BO71=D38,0,BN98-(G38-BO38)))</f>
        <v/>
      </c>
      <c r="BP98" s="15" t="str">
        <f aca="false">IF(BP38="","",IF(BP71=D38,0,BO98-(G38-BP38)))</f>
        <v/>
      </c>
    </row>
    <row r="99" customFormat="false" ht="15" hidden="false" customHeight="false" outlineLevel="0" collapsed="false">
      <c r="A99" s="29" t="str">
        <f aca="false">A39</f>
        <v/>
      </c>
      <c r="B99" s="29" t="str">
        <f aca="false">B39</f>
        <v/>
      </c>
      <c r="C99" s="29" t="str">
        <f aca="false">C39</f>
        <v/>
      </c>
      <c r="D99" s="16" t="str">
        <f aca="false">D39</f>
        <v/>
      </c>
      <c r="E99" s="17" t="str">
        <f aca="false">E39</f>
        <v/>
      </c>
      <c r="F99" s="15" t="str">
        <f aca="false">F39</f>
        <v/>
      </c>
      <c r="G99" s="15" t="str">
        <f aca="false">G39</f>
        <v/>
      </c>
      <c r="I99" s="15" t="str">
        <f aca="false">IF(I39="","",IF(I71=D39,0,F39-(G39-I39)))</f>
        <v/>
      </c>
      <c r="J99" s="15" t="str">
        <f aca="false">IF(J39="","",IF(J71=D39,0,I99-(G39-J39)))</f>
        <v/>
      </c>
      <c r="K99" s="15" t="str">
        <f aca="false">IF(K39="","",IF(K71=D39,0,J99-(G39-K39)))</f>
        <v/>
      </c>
      <c r="L99" s="15" t="str">
        <f aca="false">IF(L39="","",IF(L71=D39,0,K99-(G39-L39)))</f>
        <v/>
      </c>
      <c r="M99" s="15" t="str">
        <f aca="false">IF(M39="","",IF(M71=D39,0,L99-(G39-M39)))</f>
        <v/>
      </c>
      <c r="N99" s="15" t="str">
        <f aca="false">IF(N39="","",IF(N71=D39,0,M99-(G39-N39)))</f>
        <v/>
      </c>
      <c r="O99" s="15" t="str">
        <f aca="false">IF(O39="","",IF(O71=D39,0,N99-(G39-O39)))</f>
        <v/>
      </c>
      <c r="P99" s="15" t="str">
        <f aca="false">IF(P39="","",IF(P71=D39,0,O99-(G39-P39)))</f>
        <v/>
      </c>
      <c r="Q99" s="15" t="str">
        <f aca="false">IF(Q39="","",IF(Q71=D39,0,P99-(G39-Q39)))</f>
        <v/>
      </c>
      <c r="R99" s="15" t="str">
        <f aca="false">IF(R39="","",IF(R71=D39,0,Q99-(G39-R39)))</f>
        <v/>
      </c>
      <c r="S99" s="15" t="str">
        <f aca="false">IF(S39="","",IF(S71=D39,0,R99-(G39-S39)))</f>
        <v/>
      </c>
      <c r="T99" s="15" t="str">
        <f aca="false">IF(T39="","",IF(T71=D39,0,S99-(G39-T39)))</f>
        <v/>
      </c>
      <c r="U99" s="15" t="str">
        <f aca="false">IF(U39="","",IF(U71=D39,0,T99-(G39-U39)))</f>
        <v/>
      </c>
      <c r="V99" s="15" t="str">
        <f aca="false">IF(V39="","",IF(V71=D39,0,U99-(G39-V39)))</f>
        <v/>
      </c>
      <c r="W99" s="15" t="str">
        <f aca="false">IF(W39="","",IF(W71=D39,0,V99-(G39-W39)))</f>
        <v/>
      </c>
      <c r="X99" s="15" t="str">
        <f aca="false">IF(X39="","",IF(X71=D39,0,W99-(G39-X39)))</f>
        <v/>
      </c>
      <c r="Y99" s="15" t="str">
        <f aca="false">IF(Y39="","",IF(Y71=D39,0,X99-(G39-Y39)))</f>
        <v/>
      </c>
      <c r="Z99" s="15" t="str">
        <f aca="false">IF(Z39="","",IF(Z71=D39,0,Y99-(G39-Z39)))</f>
        <v/>
      </c>
      <c r="AA99" s="15" t="str">
        <f aca="false">IF(AA39="","",IF(AA71=D39,0,Z99-(G39-AA39)))</f>
        <v/>
      </c>
      <c r="AB99" s="15" t="str">
        <f aca="false">IF(AB39="","",IF(AB71=D39,0,AA99-(G39-AB39)))</f>
        <v/>
      </c>
      <c r="AC99" s="15" t="str">
        <f aca="false">IF(AC39="","",IF(AC71=D39,0,AB99-(G39-AC39)))</f>
        <v/>
      </c>
      <c r="AD99" s="15" t="str">
        <f aca="false">IF(AD39="","",IF(AD71=D39,0,AC99-(G39-AD39)))</f>
        <v/>
      </c>
      <c r="AE99" s="15" t="str">
        <f aca="false">IF(AE39="","",IF(AE71=D39,0,AD99-(G39-AE39)))</f>
        <v/>
      </c>
      <c r="AF99" s="15" t="str">
        <f aca="false">IF(AF39="","",IF(AF71=D39,0,AE99-(G39-AF39)))</f>
        <v/>
      </c>
      <c r="AG99" s="15" t="str">
        <f aca="false">IF(AG39="","",IF(AG71=D39,0,AF99-(G39-AG39)))</f>
        <v/>
      </c>
      <c r="AH99" s="15" t="str">
        <f aca="false">IF(AH39="","",IF(AH71=D39,0,AG99-(G39-AH39)))</f>
        <v/>
      </c>
      <c r="AI99" s="15" t="str">
        <f aca="false">IF(AI39="","",IF(AI71=D39,0,AH99-(G39-AI39)))</f>
        <v/>
      </c>
      <c r="AJ99" s="15" t="str">
        <f aca="false">IF(AJ39="","",IF(AJ71=D39,0,AI99-(G39-AJ39)))</f>
        <v/>
      </c>
      <c r="AK99" s="15" t="str">
        <f aca="false">IF(AK39="","",IF(AK71=D39,0,AJ99-(G39-AK39)))</f>
        <v/>
      </c>
      <c r="AL99" s="15" t="str">
        <f aca="false">IF(AL39="","",IF(AL71=D39,0,AK99-(G39-AL39)))</f>
        <v/>
      </c>
      <c r="AM99" s="15" t="str">
        <f aca="false">IF(AM39="","",IF(AM71=D39,0,AL99-(G39-AM39)))</f>
        <v/>
      </c>
      <c r="AN99" s="15" t="str">
        <f aca="false">IF(AN39="","",IF(AN71=D39,0,AM99-(G39-AN39)))</f>
        <v/>
      </c>
      <c r="AO99" s="15" t="str">
        <f aca="false">IF(AO39="","",IF(AO71=D39,0,AN99-(G39-AO39)))</f>
        <v/>
      </c>
      <c r="AP99" s="15" t="str">
        <f aca="false">IF(AP39="","",IF(AP71=D39,0,AO99-(G39-AP39)))</f>
        <v/>
      </c>
      <c r="AQ99" s="15" t="str">
        <f aca="false">IF(AQ39="","",IF(AQ71=D39,0,AP99-(G39-AQ39)))</f>
        <v/>
      </c>
      <c r="AR99" s="15" t="str">
        <f aca="false">IF(AR39="","",IF(AR71=D39,0,AQ99-(G39-AR39)))</f>
        <v/>
      </c>
      <c r="AS99" s="15" t="str">
        <f aca="false">IF(AS39="","",IF(AS71=D39,0,AR99-(G39-AS39)))</f>
        <v/>
      </c>
      <c r="AT99" s="15" t="str">
        <f aca="false">IF(AT39="","",IF(AT71=D39,0,AS99-(G39-AT39)))</f>
        <v/>
      </c>
      <c r="AU99" s="15" t="str">
        <f aca="false">IF(AU39="","",IF(AU71=D39,0,AT99-(G39-AU39)))</f>
        <v/>
      </c>
      <c r="AV99" s="15" t="str">
        <f aca="false">IF(AV39="","",IF(AV71=D39,0,AU99-(G39-AV39)))</f>
        <v/>
      </c>
      <c r="AW99" s="15" t="str">
        <f aca="false">IF(AW39="","",IF(AW71=D39,0,AV99-(G39-AW39)))</f>
        <v/>
      </c>
      <c r="AX99" s="15" t="str">
        <f aca="false">IF(AX39="","",IF(AX71=D39,0,AW99-(G39-AX39)))</f>
        <v/>
      </c>
      <c r="AY99" s="15" t="str">
        <f aca="false">IF(AY39="","",IF(AY71=D39,0,AX99-(G39-AY39)))</f>
        <v/>
      </c>
      <c r="AZ99" s="15" t="str">
        <f aca="false">IF(AZ39="","",IF(AZ71=D39,0,AY99-(G39-AZ39)))</f>
        <v/>
      </c>
      <c r="BA99" s="15" t="str">
        <f aca="false">IF(BA39="","",IF(BA71=D39,0,AZ99-(G39-BA39)))</f>
        <v/>
      </c>
      <c r="BB99" s="15" t="str">
        <f aca="false">IF(BB39="","",IF(BB71=D39,0,BA99-(G39-BB39)))</f>
        <v/>
      </c>
      <c r="BC99" s="15" t="str">
        <f aca="false">IF(BC39="","",IF(BC71=D39,0,BB99-(G39-BC39)))</f>
        <v/>
      </c>
      <c r="BD99" s="15" t="str">
        <f aca="false">IF(BD39="","",IF(BD71=D39,0,BC99-(G39-BD39)))</f>
        <v/>
      </c>
      <c r="BE99" s="15" t="str">
        <f aca="false">IF(BE39="","",IF(BE71=D39,0,BD99-(G39-BE39)))</f>
        <v/>
      </c>
      <c r="BF99" s="15" t="str">
        <f aca="false">IF(BF39="","",IF(BF71=D39,0,BE99-(G39-BF39)))</f>
        <v/>
      </c>
      <c r="BG99" s="15" t="str">
        <f aca="false">IF(BG39="","",IF(BG71=D39,0,BF99-(G39-BG39)))</f>
        <v/>
      </c>
      <c r="BH99" s="15" t="str">
        <f aca="false">IF(BH39="","",IF(BH71=D39,0,BG99-(G39-BH39)))</f>
        <v/>
      </c>
      <c r="BI99" s="15" t="str">
        <f aca="false">IF(BI39="","",IF(BI71=D39,0,BH99-(G39-BI39)))</f>
        <v/>
      </c>
      <c r="BJ99" s="15" t="str">
        <f aca="false">IF(BJ39="","",IF(BJ71=D39,0,BI99-(G39-BJ39)))</f>
        <v/>
      </c>
      <c r="BK99" s="15" t="str">
        <f aca="false">IF(BK39="","",IF(BK71=D39,0,BJ99-(G39-BK39)))</f>
        <v/>
      </c>
      <c r="BL99" s="15" t="str">
        <f aca="false">IF(BL39="","",IF(BL71=D39,0,BK99-(G39-BL39)))</f>
        <v/>
      </c>
      <c r="BM99" s="15" t="str">
        <f aca="false">IF(BM39="","",IF(BM71=D39,0,BL99-(G39-BM39)))</f>
        <v/>
      </c>
      <c r="BN99" s="15" t="str">
        <f aca="false">IF(BN39="","",IF(BN71=D39,0,BM99-(G39-BN39)))</f>
        <v/>
      </c>
      <c r="BO99" s="15" t="str">
        <f aca="false">IF(BO39="","",IF(BO71=D39,0,BN99-(G39-BO39)))</f>
        <v/>
      </c>
      <c r="BP99" s="15" t="str">
        <f aca="false">IF(BP39="","",IF(BP71=D39,0,BO99-(G39-BP39)))</f>
        <v/>
      </c>
    </row>
    <row r="100" customFormat="false" ht="15" hidden="false" customHeight="false" outlineLevel="0" collapsed="false">
      <c r="A100" s="29" t="str">
        <f aca="false">A40</f>
        <v/>
      </c>
      <c r="B100" s="29" t="str">
        <f aca="false">B40</f>
        <v/>
      </c>
      <c r="C100" s="29" t="str">
        <f aca="false">C40</f>
        <v/>
      </c>
      <c r="D100" s="16" t="str">
        <f aca="false">D40</f>
        <v/>
      </c>
      <c r="E100" s="17" t="str">
        <f aca="false">E40</f>
        <v/>
      </c>
      <c r="F100" s="15" t="str">
        <f aca="false">F40</f>
        <v/>
      </c>
      <c r="G100" s="15" t="str">
        <f aca="false">G40</f>
        <v/>
      </c>
      <c r="I100" s="15" t="str">
        <f aca="false">IF(I40="","",IF(I71=D40,0,F40-(G40-I40)))</f>
        <v/>
      </c>
      <c r="J100" s="15" t="str">
        <f aca="false">IF(J40="","",IF(J71=D40,0,I100-(G40-J40)))</f>
        <v/>
      </c>
      <c r="K100" s="15" t="str">
        <f aca="false">IF(K40="","",IF(K71=D40,0,J100-(G40-K40)))</f>
        <v/>
      </c>
      <c r="L100" s="15" t="str">
        <f aca="false">IF(L40="","",IF(L71=D40,0,K100-(G40-L40)))</f>
        <v/>
      </c>
      <c r="M100" s="15" t="str">
        <f aca="false">IF(M40="","",IF(M71=D40,0,L100-(G40-M40)))</f>
        <v/>
      </c>
      <c r="N100" s="15" t="str">
        <f aca="false">IF(N40="","",IF(N71=D40,0,M100-(G40-N40)))</f>
        <v/>
      </c>
      <c r="O100" s="15" t="str">
        <f aca="false">IF(O40="","",IF(O71=D40,0,N100-(G40-O40)))</f>
        <v/>
      </c>
      <c r="P100" s="15" t="str">
        <f aca="false">IF(P40="","",IF(P71=D40,0,O100-(G40-P40)))</f>
        <v/>
      </c>
      <c r="Q100" s="15" t="str">
        <f aca="false">IF(Q40="","",IF(Q71=D40,0,P100-(G40-Q40)))</f>
        <v/>
      </c>
      <c r="R100" s="15" t="str">
        <f aca="false">IF(R40="","",IF(R71=D40,0,Q100-(G40-R40)))</f>
        <v/>
      </c>
      <c r="S100" s="15" t="str">
        <f aca="false">IF(S40="","",IF(S71=D40,0,R100-(G40-S40)))</f>
        <v/>
      </c>
      <c r="T100" s="15" t="str">
        <f aca="false">IF(T40="","",IF(T71=D40,0,S100-(G40-T40)))</f>
        <v/>
      </c>
      <c r="U100" s="15" t="str">
        <f aca="false">IF(U40="","",IF(U71=D40,0,T100-(G40-U40)))</f>
        <v/>
      </c>
      <c r="V100" s="15" t="str">
        <f aca="false">IF(V40="","",IF(V71=D40,0,U100-(G40-V40)))</f>
        <v/>
      </c>
      <c r="W100" s="15" t="str">
        <f aca="false">IF(W40="","",IF(W71=D40,0,V100-(G40-W40)))</f>
        <v/>
      </c>
      <c r="X100" s="15" t="str">
        <f aca="false">IF(X40="","",IF(X71=D40,0,W100-(G40-X40)))</f>
        <v/>
      </c>
      <c r="Y100" s="15" t="str">
        <f aca="false">IF(Y40="","",IF(Y71=D40,0,X100-(G40-Y40)))</f>
        <v/>
      </c>
      <c r="Z100" s="15" t="str">
        <f aca="false">IF(Z40="","",IF(Z71=D40,0,Y100-(G40-Z40)))</f>
        <v/>
      </c>
      <c r="AA100" s="15" t="str">
        <f aca="false">IF(AA40="","",IF(AA71=D40,0,Z100-(G40-AA40)))</f>
        <v/>
      </c>
      <c r="AB100" s="15" t="str">
        <f aca="false">IF(AB40="","",IF(AB71=D40,0,AA100-(G40-AB40)))</f>
        <v/>
      </c>
      <c r="AC100" s="15" t="str">
        <f aca="false">IF(AC40="","",IF(AC71=D40,0,AB100-(G40-AC40)))</f>
        <v/>
      </c>
      <c r="AD100" s="15" t="str">
        <f aca="false">IF(AD40="","",IF(AD71=D40,0,AC100-(G40-AD40)))</f>
        <v/>
      </c>
      <c r="AE100" s="15" t="str">
        <f aca="false">IF(AE40="","",IF(AE71=D40,0,AD100-(G40-AE40)))</f>
        <v/>
      </c>
      <c r="AF100" s="15" t="str">
        <f aca="false">IF(AF40="","",IF(AF71=D40,0,AE100-(G40-AF40)))</f>
        <v/>
      </c>
      <c r="AG100" s="15" t="str">
        <f aca="false">IF(AG40="","",IF(AG71=D40,0,AF100-(G40-AG40)))</f>
        <v/>
      </c>
      <c r="AH100" s="15" t="str">
        <f aca="false">IF(AH40="","",IF(AH71=D40,0,AG100-(G40-AH40)))</f>
        <v/>
      </c>
      <c r="AI100" s="15" t="str">
        <f aca="false">IF(AI40="","",IF(AI71=D40,0,AH100-(G40-AI40)))</f>
        <v/>
      </c>
      <c r="AJ100" s="15" t="str">
        <f aca="false">IF(AJ40="","",IF(AJ71=D40,0,AI100-(G40-AJ40)))</f>
        <v/>
      </c>
      <c r="AK100" s="15" t="str">
        <f aca="false">IF(AK40="","",IF(AK71=D40,0,AJ100-(G40-AK40)))</f>
        <v/>
      </c>
      <c r="AL100" s="15" t="str">
        <f aca="false">IF(AL40="","",IF(AL71=D40,0,AK100-(G40-AL40)))</f>
        <v/>
      </c>
      <c r="AM100" s="15" t="str">
        <f aca="false">IF(AM40="","",IF(AM71=D40,0,AL100-(G40-AM40)))</f>
        <v/>
      </c>
      <c r="AN100" s="15" t="str">
        <f aca="false">IF(AN40="","",IF(AN71=D40,0,AM100-(G40-AN40)))</f>
        <v/>
      </c>
      <c r="AO100" s="15" t="str">
        <f aca="false">IF(AO40="","",IF(AO71=D40,0,AN100-(G40-AO40)))</f>
        <v/>
      </c>
      <c r="AP100" s="15" t="str">
        <f aca="false">IF(AP40="","",IF(AP71=D40,0,AO100-(G40-AP40)))</f>
        <v/>
      </c>
      <c r="AQ100" s="15" t="str">
        <f aca="false">IF(AQ40="","",IF(AQ71=D40,0,AP100-(G40-AQ40)))</f>
        <v/>
      </c>
      <c r="AR100" s="15" t="str">
        <f aca="false">IF(AR40="","",IF(AR71=D40,0,AQ100-(G40-AR40)))</f>
        <v/>
      </c>
      <c r="AS100" s="15" t="str">
        <f aca="false">IF(AS40="","",IF(AS71=D40,0,AR100-(G40-AS40)))</f>
        <v/>
      </c>
      <c r="AT100" s="15" t="str">
        <f aca="false">IF(AT40="","",IF(AT71=D40,0,AS100-(G40-AT40)))</f>
        <v/>
      </c>
      <c r="AU100" s="15" t="str">
        <f aca="false">IF(AU40="","",IF(AU71=D40,0,AT100-(G40-AU40)))</f>
        <v/>
      </c>
      <c r="AV100" s="15" t="str">
        <f aca="false">IF(AV40="","",IF(AV71=D40,0,AU100-(G40-AV40)))</f>
        <v/>
      </c>
      <c r="AW100" s="15" t="str">
        <f aca="false">IF(AW40="","",IF(AW71=D40,0,AV100-(G40-AW40)))</f>
        <v/>
      </c>
      <c r="AX100" s="15" t="str">
        <f aca="false">IF(AX40="","",IF(AX71=D40,0,AW100-(G40-AX40)))</f>
        <v/>
      </c>
      <c r="AY100" s="15" t="str">
        <f aca="false">IF(AY40="","",IF(AY71=D40,0,AX100-(G40-AY40)))</f>
        <v/>
      </c>
      <c r="AZ100" s="15" t="str">
        <f aca="false">IF(AZ40="","",IF(AZ71=D40,0,AY100-(G40-AZ40)))</f>
        <v/>
      </c>
      <c r="BA100" s="15" t="str">
        <f aca="false">IF(BA40="","",IF(BA71=D40,0,AZ100-(G40-BA40)))</f>
        <v/>
      </c>
      <c r="BB100" s="15" t="str">
        <f aca="false">IF(BB40="","",IF(BB71=D40,0,BA100-(G40-BB40)))</f>
        <v/>
      </c>
      <c r="BC100" s="15" t="str">
        <f aca="false">IF(BC40="","",IF(BC71=D40,0,BB100-(G40-BC40)))</f>
        <v/>
      </c>
      <c r="BD100" s="15" t="str">
        <f aca="false">IF(BD40="","",IF(BD71=D40,0,BC100-(G40-BD40)))</f>
        <v/>
      </c>
      <c r="BE100" s="15" t="str">
        <f aca="false">IF(BE40="","",IF(BE71=D40,0,BD100-(G40-BE40)))</f>
        <v/>
      </c>
      <c r="BF100" s="15" t="str">
        <f aca="false">IF(BF40="","",IF(BF71=D40,0,BE100-(G40-BF40)))</f>
        <v/>
      </c>
      <c r="BG100" s="15" t="str">
        <f aca="false">IF(BG40="","",IF(BG71=D40,0,BF100-(G40-BG40)))</f>
        <v/>
      </c>
      <c r="BH100" s="15" t="str">
        <f aca="false">IF(BH40="","",IF(BH71=D40,0,BG100-(G40-BH40)))</f>
        <v/>
      </c>
      <c r="BI100" s="15" t="str">
        <f aca="false">IF(BI40="","",IF(BI71=D40,0,BH100-(G40-BI40)))</f>
        <v/>
      </c>
      <c r="BJ100" s="15" t="str">
        <f aca="false">IF(BJ40="","",IF(BJ71=D40,0,BI100-(G40-BJ40)))</f>
        <v/>
      </c>
      <c r="BK100" s="15" t="str">
        <f aca="false">IF(BK40="","",IF(BK71=D40,0,BJ100-(G40-BK40)))</f>
        <v/>
      </c>
      <c r="BL100" s="15" t="str">
        <f aca="false">IF(BL40="","",IF(BL71=D40,0,BK100-(G40-BL40)))</f>
        <v/>
      </c>
      <c r="BM100" s="15" t="str">
        <f aca="false">IF(BM40="","",IF(BM71=D40,0,BL100-(G40-BM40)))</f>
        <v/>
      </c>
      <c r="BN100" s="15" t="str">
        <f aca="false">IF(BN40="","",IF(BN71=D40,0,BM100-(G40-BN40)))</f>
        <v/>
      </c>
      <c r="BO100" s="15" t="str">
        <f aca="false">IF(BO40="","",IF(BO71=D40,0,BN100-(G40-BO40)))</f>
        <v/>
      </c>
      <c r="BP100" s="15" t="str">
        <f aca="false">IF(BP40="","",IF(BP71=D40,0,BO100-(G40-BP40)))</f>
        <v/>
      </c>
    </row>
    <row r="101" customFormat="false" ht="15" hidden="false" customHeight="false" outlineLevel="0" collapsed="false">
      <c r="A101" s="29" t="str">
        <f aca="false">A41</f>
        <v/>
      </c>
      <c r="B101" s="29" t="str">
        <f aca="false">B41</f>
        <v/>
      </c>
      <c r="C101" s="29" t="str">
        <f aca="false">C41</f>
        <v/>
      </c>
      <c r="D101" s="16" t="str">
        <f aca="false">D41</f>
        <v/>
      </c>
      <c r="E101" s="17" t="str">
        <f aca="false">E41</f>
        <v/>
      </c>
      <c r="F101" s="15" t="str">
        <f aca="false">F41</f>
        <v/>
      </c>
      <c r="G101" s="15" t="str">
        <f aca="false">G41</f>
        <v/>
      </c>
      <c r="I101" s="15" t="str">
        <f aca="false">IF(I41="","",IF(I71=D41,0,F41-(G41-I41)))</f>
        <v/>
      </c>
      <c r="J101" s="15" t="str">
        <f aca="false">IF(J41="","",IF(J71=D41,0,I101-(G41-J41)))</f>
        <v/>
      </c>
      <c r="K101" s="15" t="str">
        <f aca="false">IF(K41="","",IF(K71=D41,0,J101-(G41-K41)))</f>
        <v/>
      </c>
      <c r="L101" s="15" t="str">
        <f aca="false">IF(L41="","",IF(L71=D41,0,K101-(G41-L41)))</f>
        <v/>
      </c>
      <c r="M101" s="15" t="str">
        <f aca="false">IF(M41="","",IF(M71=D41,0,L101-(G41-M41)))</f>
        <v/>
      </c>
      <c r="N101" s="15" t="str">
        <f aca="false">IF(N41="","",IF(N71=D41,0,M101-(G41-N41)))</f>
        <v/>
      </c>
      <c r="O101" s="15" t="str">
        <f aca="false">IF(O41="","",IF(O71=D41,0,N101-(G41-O41)))</f>
        <v/>
      </c>
      <c r="P101" s="15" t="str">
        <f aca="false">IF(P41="","",IF(P71=D41,0,O101-(G41-P41)))</f>
        <v/>
      </c>
      <c r="Q101" s="15" t="str">
        <f aca="false">IF(Q41="","",IF(Q71=D41,0,P101-(G41-Q41)))</f>
        <v/>
      </c>
      <c r="R101" s="15" t="str">
        <f aca="false">IF(R41="","",IF(R71=D41,0,Q101-(G41-R41)))</f>
        <v/>
      </c>
      <c r="S101" s="15" t="str">
        <f aca="false">IF(S41="","",IF(S71=D41,0,R101-(G41-S41)))</f>
        <v/>
      </c>
      <c r="T101" s="15" t="str">
        <f aca="false">IF(T41="","",IF(T71=D41,0,S101-(G41-T41)))</f>
        <v/>
      </c>
      <c r="U101" s="15" t="str">
        <f aca="false">IF(U41="","",IF(U71=D41,0,T101-(G41-U41)))</f>
        <v/>
      </c>
      <c r="V101" s="15" t="str">
        <f aca="false">IF(V41="","",IF(V71=D41,0,U101-(G41-V41)))</f>
        <v/>
      </c>
      <c r="W101" s="15" t="str">
        <f aca="false">IF(W41="","",IF(W71=D41,0,V101-(G41-W41)))</f>
        <v/>
      </c>
      <c r="X101" s="15" t="str">
        <f aca="false">IF(X41="","",IF(X71=D41,0,W101-(G41-X41)))</f>
        <v/>
      </c>
      <c r="Y101" s="15" t="str">
        <f aca="false">IF(Y41="","",IF(Y71=D41,0,X101-(G41-Y41)))</f>
        <v/>
      </c>
      <c r="Z101" s="15" t="str">
        <f aca="false">IF(Z41="","",IF(Z71=D41,0,Y101-(G41-Z41)))</f>
        <v/>
      </c>
      <c r="AA101" s="15" t="str">
        <f aca="false">IF(AA41="","",IF(AA71=D41,0,Z101-(G41-AA41)))</f>
        <v/>
      </c>
      <c r="AB101" s="15" t="str">
        <f aca="false">IF(AB41="","",IF(AB71=D41,0,AA101-(G41-AB41)))</f>
        <v/>
      </c>
      <c r="AC101" s="15" t="str">
        <f aca="false">IF(AC41="","",IF(AC71=D41,0,AB101-(G41-AC41)))</f>
        <v/>
      </c>
      <c r="AD101" s="15" t="str">
        <f aca="false">IF(AD41="","",IF(AD71=D41,0,AC101-(G41-AD41)))</f>
        <v/>
      </c>
      <c r="AE101" s="15" t="str">
        <f aca="false">IF(AE41="","",IF(AE71=D41,0,AD101-(G41-AE41)))</f>
        <v/>
      </c>
      <c r="AF101" s="15" t="str">
        <f aca="false">IF(AF41="","",IF(AF71=D41,0,AE101-(G41-AF41)))</f>
        <v/>
      </c>
      <c r="AG101" s="15" t="str">
        <f aca="false">IF(AG41="","",IF(AG71=D41,0,AF101-(G41-AG41)))</f>
        <v/>
      </c>
      <c r="AH101" s="15" t="str">
        <f aca="false">IF(AH41="","",IF(AH71=D41,0,AG101-(G41-AH41)))</f>
        <v/>
      </c>
      <c r="AI101" s="15" t="str">
        <f aca="false">IF(AI41="","",IF(AI71=D41,0,AH101-(G41-AI41)))</f>
        <v/>
      </c>
      <c r="AJ101" s="15" t="str">
        <f aca="false">IF(AJ41="","",IF(AJ71=D41,0,AI101-(G41-AJ41)))</f>
        <v/>
      </c>
      <c r="AK101" s="15" t="str">
        <f aca="false">IF(AK41="","",IF(AK71=D41,0,AJ101-(G41-AK41)))</f>
        <v/>
      </c>
      <c r="AL101" s="15" t="str">
        <f aca="false">IF(AL41="","",IF(AL71=D41,0,AK101-(G41-AL41)))</f>
        <v/>
      </c>
      <c r="AM101" s="15" t="str">
        <f aca="false">IF(AM41="","",IF(AM71=D41,0,AL101-(G41-AM41)))</f>
        <v/>
      </c>
      <c r="AN101" s="15" t="str">
        <f aca="false">IF(AN41="","",IF(AN71=D41,0,AM101-(G41-AN41)))</f>
        <v/>
      </c>
      <c r="AO101" s="15" t="str">
        <f aca="false">IF(AO41="","",IF(AO71=D41,0,AN101-(G41-AO41)))</f>
        <v/>
      </c>
      <c r="AP101" s="15" t="str">
        <f aca="false">IF(AP41="","",IF(AP71=D41,0,AO101-(G41-AP41)))</f>
        <v/>
      </c>
      <c r="AQ101" s="15" t="str">
        <f aca="false">IF(AQ41="","",IF(AQ71=D41,0,AP101-(G41-AQ41)))</f>
        <v/>
      </c>
      <c r="AR101" s="15" t="str">
        <f aca="false">IF(AR41="","",IF(AR71=D41,0,AQ101-(G41-AR41)))</f>
        <v/>
      </c>
      <c r="AS101" s="15" t="str">
        <f aca="false">IF(AS41="","",IF(AS71=D41,0,AR101-(G41-AS41)))</f>
        <v/>
      </c>
      <c r="AT101" s="15" t="str">
        <f aca="false">IF(AT41="","",IF(AT71=D41,0,AS101-(G41-AT41)))</f>
        <v/>
      </c>
      <c r="AU101" s="15" t="str">
        <f aca="false">IF(AU41="","",IF(AU71=D41,0,AT101-(G41-AU41)))</f>
        <v/>
      </c>
      <c r="AV101" s="15" t="str">
        <f aca="false">IF(AV41="","",IF(AV71=D41,0,AU101-(G41-AV41)))</f>
        <v/>
      </c>
      <c r="AW101" s="15" t="str">
        <f aca="false">IF(AW41="","",IF(AW71=D41,0,AV101-(G41-AW41)))</f>
        <v/>
      </c>
      <c r="AX101" s="15" t="str">
        <f aca="false">IF(AX41="","",IF(AX71=D41,0,AW101-(G41-AX41)))</f>
        <v/>
      </c>
      <c r="AY101" s="15" t="str">
        <f aca="false">IF(AY41="","",IF(AY71=D41,0,AX101-(G41-AY41)))</f>
        <v/>
      </c>
      <c r="AZ101" s="15" t="str">
        <f aca="false">IF(AZ41="","",IF(AZ71=D41,0,AY101-(G41-AZ41)))</f>
        <v/>
      </c>
      <c r="BA101" s="15" t="str">
        <f aca="false">IF(BA41="","",IF(BA71=D41,0,AZ101-(G41-BA41)))</f>
        <v/>
      </c>
      <c r="BB101" s="15" t="str">
        <f aca="false">IF(BB41="","",IF(BB71=D41,0,BA101-(G41-BB41)))</f>
        <v/>
      </c>
      <c r="BC101" s="15" t="str">
        <f aca="false">IF(BC41="","",IF(BC71=D41,0,BB101-(G41-BC41)))</f>
        <v/>
      </c>
      <c r="BD101" s="15" t="str">
        <f aca="false">IF(BD41="","",IF(BD71=D41,0,BC101-(G41-BD41)))</f>
        <v/>
      </c>
      <c r="BE101" s="15" t="str">
        <f aca="false">IF(BE41="","",IF(BE71=D41,0,BD101-(G41-BE41)))</f>
        <v/>
      </c>
      <c r="BF101" s="15" t="str">
        <f aca="false">IF(BF41="","",IF(BF71=D41,0,BE101-(G41-BF41)))</f>
        <v/>
      </c>
      <c r="BG101" s="15" t="str">
        <f aca="false">IF(BG41="","",IF(BG71=D41,0,BF101-(G41-BG41)))</f>
        <v/>
      </c>
      <c r="BH101" s="15" t="str">
        <f aca="false">IF(BH41="","",IF(BH71=D41,0,BG101-(G41-BH41)))</f>
        <v/>
      </c>
      <c r="BI101" s="15" t="str">
        <f aca="false">IF(BI41="","",IF(BI71=D41,0,BH101-(G41-BI41)))</f>
        <v/>
      </c>
      <c r="BJ101" s="15" t="str">
        <f aca="false">IF(BJ41="","",IF(BJ71=D41,0,BI101-(G41-BJ41)))</f>
        <v/>
      </c>
      <c r="BK101" s="15" t="str">
        <f aca="false">IF(BK41="","",IF(BK71=D41,0,BJ101-(G41-BK41)))</f>
        <v/>
      </c>
      <c r="BL101" s="15" t="str">
        <f aca="false">IF(BL41="","",IF(BL71=D41,0,BK101-(G41-BL41)))</f>
        <v/>
      </c>
      <c r="BM101" s="15" t="str">
        <f aca="false">IF(BM41="","",IF(BM71=D41,0,BL101-(G41-BM41)))</f>
        <v/>
      </c>
      <c r="BN101" s="15" t="str">
        <f aca="false">IF(BN41="","",IF(BN71=D41,0,BM101-(G41-BN41)))</f>
        <v/>
      </c>
      <c r="BO101" s="15" t="str">
        <f aca="false">IF(BO41="","",IF(BO71=D41,0,BN101-(G41-BO41)))</f>
        <v/>
      </c>
      <c r="BP101" s="15" t="str">
        <f aca="false">IF(BP41="","",IF(BP71=D41,0,BO101-(G41-BP41)))</f>
        <v/>
      </c>
    </row>
    <row r="102" customFormat="false" ht="15" hidden="false" customHeight="false" outlineLevel="0" collapsed="false">
      <c r="A102" s="29" t="str">
        <f aca="false">A42</f>
        <v/>
      </c>
      <c r="B102" s="29" t="str">
        <f aca="false">B42</f>
        <v/>
      </c>
      <c r="C102" s="29" t="str">
        <f aca="false">C42</f>
        <v/>
      </c>
      <c r="D102" s="16" t="str">
        <f aca="false">D42</f>
        <v/>
      </c>
      <c r="E102" s="17" t="str">
        <f aca="false">E42</f>
        <v/>
      </c>
      <c r="F102" s="15" t="str">
        <f aca="false">F42</f>
        <v/>
      </c>
      <c r="G102" s="15" t="str">
        <f aca="false">G42</f>
        <v/>
      </c>
      <c r="I102" s="15" t="str">
        <f aca="false">IF(I42="","",IF(I71=D42,0,F42-(G42-I42)))</f>
        <v/>
      </c>
      <c r="J102" s="15" t="str">
        <f aca="false">IF(J42="","",IF(J71=D42,0,I102-(G42-J42)))</f>
        <v/>
      </c>
      <c r="K102" s="15" t="str">
        <f aca="false">IF(K42="","",IF(K71=D42,0,J102-(G42-K42)))</f>
        <v/>
      </c>
      <c r="L102" s="15" t="str">
        <f aca="false">IF(L42="","",IF(L71=D42,0,K102-(G42-L42)))</f>
        <v/>
      </c>
      <c r="M102" s="15" t="str">
        <f aca="false">IF(M42="","",IF(M71=D42,0,L102-(G42-M42)))</f>
        <v/>
      </c>
      <c r="N102" s="15" t="str">
        <f aca="false">IF(N42="","",IF(N71=D42,0,M102-(G42-N42)))</f>
        <v/>
      </c>
      <c r="O102" s="15" t="str">
        <f aca="false">IF(O42="","",IF(O71=D42,0,N102-(G42-O42)))</f>
        <v/>
      </c>
      <c r="P102" s="15" t="str">
        <f aca="false">IF(P42="","",IF(P71=D42,0,O102-(G42-P42)))</f>
        <v/>
      </c>
      <c r="Q102" s="15" t="str">
        <f aca="false">IF(Q42="","",IF(Q71=D42,0,P102-(G42-Q42)))</f>
        <v/>
      </c>
      <c r="R102" s="15" t="str">
        <f aca="false">IF(R42="","",IF(R71=D42,0,Q102-(G42-R42)))</f>
        <v/>
      </c>
      <c r="S102" s="15" t="str">
        <f aca="false">IF(S42="","",IF(S71=D42,0,R102-(G42-S42)))</f>
        <v/>
      </c>
      <c r="T102" s="15" t="str">
        <f aca="false">IF(T42="","",IF(T71=D42,0,S102-(G42-T42)))</f>
        <v/>
      </c>
      <c r="U102" s="15" t="str">
        <f aca="false">IF(U42="","",IF(U71=D42,0,T102-(G42-U42)))</f>
        <v/>
      </c>
      <c r="V102" s="15" t="str">
        <f aca="false">IF(V42="","",IF(V71=D42,0,U102-(G42-V42)))</f>
        <v/>
      </c>
      <c r="W102" s="15" t="str">
        <f aca="false">IF(W42="","",IF(W71=D42,0,V102-(G42-W42)))</f>
        <v/>
      </c>
      <c r="X102" s="15" t="str">
        <f aca="false">IF(X42="","",IF(X71=D42,0,W102-(G42-X42)))</f>
        <v/>
      </c>
      <c r="Y102" s="15" t="str">
        <f aca="false">IF(Y42="","",IF(Y71=D42,0,X102-(G42-Y42)))</f>
        <v/>
      </c>
      <c r="Z102" s="15" t="str">
        <f aca="false">IF(Z42="","",IF(Z71=D42,0,Y102-(G42-Z42)))</f>
        <v/>
      </c>
      <c r="AA102" s="15" t="str">
        <f aca="false">IF(AA42="","",IF(AA71=D42,0,Z102-(G42-AA42)))</f>
        <v/>
      </c>
      <c r="AB102" s="15" t="str">
        <f aca="false">IF(AB42="","",IF(AB71=D42,0,AA102-(G42-AB42)))</f>
        <v/>
      </c>
      <c r="AC102" s="15" t="str">
        <f aca="false">IF(AC42="","",IF(AC71=D42,0,AB102-(G42-AC42)))</f>
        <v/>
      </c>
      <c r="AD102" s="15" t="str">
        <f aca="false">IF(AD42="","",IF(AD71=D42,0,AC102-(G42-AD42)))</f>
        <v/>
      </c>
      <c r="AE102" s="15" t="str">
        <f aca="false">IF(AE42="","",IF(AE71=D42,0,AD102-(G42-AE42)))</f>
        <v/>
      </c>
      <c r="AF102" s="15" t="str">
        <f aca="false">IF(AF42="","",IF(AF71=D42,0,AE102-(G42-AF42)))</f>
        <v/>
      </c>
      <c r="AG102" s="15" t="str">
        <f aca="false">IF(AG42="","",IF(AG71=D42,0,AF102-(G42-AG42)))</f>
        <v/>
      </c>
      <c r="AH102" s="15" t="str">
        <f aca="false">IF(AH42="","",IF(AH71=D42,0,AG102-(G42-AH42)))</f>
        <v/>
      </c>
      <c r="AI102" s="15" t="str">
        <f aca="false">IF(AI42="","",IF(AI71=D42,0,AH102-(G42-AI42)))</f>
        <v/>
      </c>
      <c r="AJ102" s="15" t="str">
        <f aca="false">IF(AJ42="","",IF(AJ71=D42,0,AI102-(G42-AJ42)))</f>
        <v/>
      </c>
      <c r="AK102" s="15" t="str">
        <f aca="false">IF(AK42="","",IF(AK71=D42,0,AJ102-(G42-AK42)))</f>
        <v/>
      </c>
      <c r="AL102" s="15" t="str">
        <f aca="false">IF(AL42="","",IF(AL71=D42,0,AK102-(G42-AL42)))</f>
        <v/>
      </c>
      <c r="AM102" s="15" t="str">
        <f aca="false">IF(AM42="","",IF(AM71=D42,0,AL102-(G42-AM42)))</f>
        <v/>
      </c>
      <c r="AN102" s="15" t="str">
        <f aca="false">IF(AN42="","",IF(AN71=D42,0,AM102-(G42-AN42)))</f>
        <v/>
      </c>
      <c r="AO102" s="15" t="str">
        <f aca="false">IF(AO42="","",IF(AO71=D42,0,AN102-(G42-AO42)))</f>
        <v/>
      </c>
      <c r="AP102" s="15" t="str">
        <f aca="false">IF(AP42="","",IF(AP71=D42,0,AO102-(G42-AP42)))</f>
        <v/>
      </c>
      <c r="AQ102" s="15" t="str">
        <f aca="false">IF(AQ42="","",IF(AQ71=D42,0,AP102-(G42-AQ42)))</f>
        <v/>
      </c>
      <c r="AR102" s="15" t="str">
        <f aca="false">IF(AR42="","",IF(AR71=D42,0,AQ102-(G42-AR42)))</f>
        <v/>
      </c>
      <c r="AS102" s="15" t="str">
        <f aca="false">IF(AS42="","",IF(AS71=D42,0,AR102-(G42-AS42)))</f>
        <v/>
      </c>
      <c r="AT102" s="15" t="str">
        <f aca="false">IF(AT42="","",IF(AT71=D42,0,AS102-(G42-AT42)))</f>
        <v/>
      </c>
      <c r="AU102" s="15" t="str">
        <f aca="false">IF(AU42="","",IF(AU71=D42,0,AT102-(G42-AU42)))</f>
        <v/>
      </c>
      <c r="AV102" s="15" t="str">
        <f aca="false">IF(AV42="","",IF(AV71=D42,0,AU102-(G42-AV42)))</f>
        <v/>
      </c>
      <c r="AW102" s="15" t="str">
        <f aca="false">IF(AW42="","",IF(AW71=D42,0,AV102-(G42-AW42)))</f>
        <v/>
      </c>
      <c r="AX102" s="15" t="str">
        <f aca="false">IF(AX42="","",IF(AX71=D42,0,AW102-(G42-AX42)))</f>
        <v/>
      </c>
      <c r="AY102" s="15" t="str">
        <f aca="false">IF(AY42="","",IF(AY71=D42,0,AX102-(G42-AY42)))</f>
        <v/>
      </c>
      <c r="AZ102" s="15" t="str">
        <f aca="false">IF(AZ42="","",IF(AZ71=D42,0,AY102-(G42-AZ42)))</f>
        <v/>
      </c>
      <c r="BA102" s="15" t="str">
        <f aca="false">IF(BA42="","",IF(BA71=D42,0,AZ102-(G42-BA42)))</f>
        <v/>
      </c>
      <c r="BB102" s="15" t="str">
        <f aca="false">IF(BB42="","",IF(BB71=D42,0,BA102-(G42-BB42)))</f>
        <v/>
      </c>
      <c r="BC102" s="15" t="str">
        <f aca="false">IF(BC42="","",IF(BC71=D42,0,BB102-(G42-BC42)))</f>
        <v/>
      </c>
      <c r="BD102" s="15" t="str">
        <f aca="false">IF(BD42="","",IF(BD71=D42,0,BC102-(G42-BD42)))</f>
        <v/>
      </c>
      <c r="BE102" s="15" t="str">
        <f aca="false">IF(BE42="","",IF(BE71=D42,0,BD102-(G42-BE42)))</f>
        <v/>
      </c>
      <c r="BF102" s="15" t="str">
        <f aca="false">IF(BF42="","",IF(BF71=D42,0,BE102-(G42-BF42)))</f>
        <v/>
      </c>
      <c r="BG102" s="15" t="str">
        <f aca="false">IF(BG42="","",IF(BG71=D42,0,BF102-(G42-BG42)))</f>
        <v/>
      </c>
      <c r="BH102" s="15" t="str">
        <f aca="false">IF(BH42="","",IF(BH71=D42,0,BG102-(G42-BH42)))</f>
        <v/>
      </c>
      <c r="BI102" s="15" t="str">
        <f aca="false">IF(BI42="","",IF(BI71=D42,0,BH102-(G42-BI42)))</f>
        <v/>
      </c>
      <c r="BJ102" s="15" t="str">
        <f aca="false">IF(BJ42="","",IF(BJ71=D42,0,BI102-(G42-BJ42)))</f>
        <v/>
      </c>
      <c r="BK102" s="15" t="str">
        <f aca="false">IF(BK42="","",IF(BK71=D42,0,BJ102-(G42-BK42)))</f>
        <v/>
      </c>
      <c r="BL102" s="15" t="str">
        <f aca="false">IF(BL42="","",IF(BL71=D42,0,BK102-(G42-BL42)))</f>
        <v/>
      </c>
      <c r="BM102" s="15" t="str">
        <f aca="false">IF(BM42="","",IF(BM71=D42,0,BL102-(G42-BM42)))</f>
        <v/>
      </c>
      <c r="BN102" s="15" t="str">
        <f aca="false">IF(BN42="","",IF(BN71=D42,0,BM102-(G42-BN42)))</f>
        <v/>
      </c>
      <c r="BO102" s="15" t="str">
        <f aca="false">IF(BO42="","",IF(BO71=D42,0,BN102-(G42-BO42)))</f>
        <v/>
      </c>
      <c r="BP102" s="15" t="str">
        <f aca="false">IF(BP42="","",IF(BP71=D42,0,BO102-(G42-BP42)))</f>
        <v/>
      </c>
    </row>
    <row r="103" customFormat="false" ht="15" hidden="false" customHeight="false" outlineLevel="0" collapsed="false">
      <c r="A103" s="29" t="str">
        <f aca="false">A43</f>
        <v/>
      </c>
      <c r="B103" s="29" t="str">
        <f aca="false">B43</f>
        <v/>
      </c>
      <c r="C103" s="29" t="str">
        <f aca="false">C43</f>
        <v/>
      </c>
      <c r="D103" s="16" t="str">
        <f aca="false">D43</f>
        <v/>
      </c>
      <c r="E103" s="17" t="str">
        <f aca="false">E43</f>
        <v/>
      </c>
      <c r="F103" s="15" t="str">
        <f aca="false">F43</f>
        <v/>
      </c>
      <c r="G103" s="15" t="str">
        <f aca="false">G43</f>
        <v/>
      </c>
      <c r="I103" s="15" t="str">
        <f aca="false">IF(I43="","",IF(I71=D43,0,F43-(G43-I43)))</f>
        <v/>
      </c>
      <c r="J103" s="15" t="str">
        <f aca="false">IF(J43="","",IF(J71=D43,0,I103-(G43-J43)))</f>
        <v/>
      </c>
      <c r="K103" s="15" t="str">
        <f aca="false">IF(K43="","",IF(K71=D43,0,J103-(G43-K43)))</f>
        <v/>
      </c>
      <c r="L103" s="15" t="str">
        <f aca="false">IF(L43="","",IF(L71=D43,0,K103-(G43-L43)))</f>
        <v/>
      </c>
      <c r="M103" s="15" t="str">
        <f aca="false">IF(M43="","",IF(M71=D43,0,L103-(G43-M43)))</f>
        <v/>
      </c>
      <c r="N103" s="15" t="str">
        <f aca="false">IF(N43="","",IF(N71=D43,0,M103-(G43-N43)))</f>
        <v/>
      </c>
      <c r="O103" s="15" t="str">
        <f aca="false">IF(O43="","",IF(O71=D43,0,N103-(G43-O43)))</f>
        <v/>
      </c>
      <c r="P103" s="15" t="str">
        <f aca="false">IF(P43="","",IF(P71=D43,0,O103-(G43-P43)))</f>
        <v/>
      </c>
      <c r="Q103" s="15" t="str">
        <f aca="false">IF(Q43="","",IF(Q71=D43,0,P103-(G43-Q43)))</f>
        <v/>
      </c>
      <c r="R103" s="15" t="str">
        <f aca="false">IF(R43="","",IF(R71=D43,0,Q103-(G43-R43)))</f>
        <v/>
      </c>
      <c r="S103" s="15" t="str">
        <f aca="false">IF(S43="","",IF(S71=D43,0,R103-(G43-S43)))</f>
        <v/>
      </c>
      <c r="T103" s="15" t="str">
        <f aca="false">IF(T43="","",IF(T71=D43,0,S103-(G43-T43)))</f>
        <v/>
      </c>
      <c r="U103" s="15" t="str">
        <f aca="false">IF(U43="","",IF(U71=D43,0,T103-(G43-U43)))</f>
        <v/>
      </c>
      <c r="V103" s="15" t="str">
        <f aca="false">IF(V43="","",IF(V71=D43,0,U103-(G43-V43)))</f>
        <v/>
      </c>
      <c r="W103" s="15" t="str">
        <f aca="false">IF(W43="","",IF(W71=D43,0,V103-(G43-W43)))</f>
        <v/>
      </c>
      <c r="X103" s="15" t="str">
        <f aca="false">IF(X43="","",IF(X71=D43,0,W103-(G43-X43)))</f>
        <v/>
      </c>
      <c r="Y103" s="15" t="str">
        <f aca="false">IF(Y43="","",IF(Y71=D43,0,X103-(G43-Y43)))</f>
        <v/>
      </c>
      <c r="Z103" s="15" t="str">
        <f aca="false">IF(Z43="","",IF(Z71=D43,0,Y103-(G43-Z43)))</f>
        <v/>
      </c>
      <c r="AA103" s="15" t="str">
        <f aca="false">IF(AA43="","",IF(AA71=D43,0,Z103-(G43-AA43)))</f>
        <v/>
      </c>
      <c r="AB103" s="15" t="str">
        <f aca="false">IF(AB43="","",IF(AB71=D43,0,AA103-(G43-AB43)))</f>
        <v/>
      </c>
      <c r="AC103" s="15" t="str">
        <f aca="false">IF(AC43="","",IF(AC71=D43,0,AB103-(G43-AC43)))</f>
        <v/>
      </c>
      <c r="AD103" s="15" t="str">
        <f aca="false">IF(AD43="","",IF(AD71=D43,0,AC103-(G43-AD43)))</f>
        <v/>
      </c>
      <c r="AE103" s="15" t="str">
        <f aca="false">IF(AE43="","",IF(AE71=D43,0,AD103-(G43-AE43)))</f>
        <v/>
      </c>
      <c r="AF103" s="15" t="str">
        <f aca="false">IF(AF43="","",IF(AF71=D43,0,AE103-(G43-AF43)))</f>
        <v/>
      </c>
      <c r="AG103" s="15" t="str">
        <f aca="false">IF(AG43="","",IF(AG71=D43,0,AF103-(G43-AG43)))</f>
        <v/>
      </c>
      <c r="AH103" s="15" t="str">
        <f aca="false">IF(AH43="","",IF(AH71=D43,0,AG103-(G43-AH43)))</f>
        <v/>
      </c>
      <c r="AI103" s="15" t="str">
        <f aca="false">IF(AI43="","",IF(AI71=D43,0,AH103-(G43-AI43)))</f>
        <v/>
      </c>
      <c r="AJ103" s="15" t="str">
        <f aca="false">IF(AJ43="","",IF(AJ71=D43,0,AI103-(G43-AJ43)))</f>
        <v/>
      </c>
      <c r="AK103" s="15" t="str">
        <f aca="false">IF(AK43="","",IF(AK71=D43,0,AJ103-(G43-AK43)))</f>
        <v/>
      </c>
      <c r="AL103" s="15" t="str">
        <f aca="false">IF(AL43="","",IF(AL71=D43,0,AK103-(G43-AL43)))</f>
        <v/>
      </c>
      <c r="AM103" s="15" t="str">
        <f aca="false">IF(AM43="","",IF(AM71=D43,0,AL103-(G43-AM43)))</f>
        <v/>
      </c>
      <c r="AN103" s="15" t="str">
        <f aca="false">IF(AN43="","",IF(AN71=D43,0,AM103-(G43-AN43)))</f>
        <v/>
      </c>
      <c r="AO103" s="15" t="str">
        <f aca="false">IF(AO43="","",IF(AO71=D43,0,AN103-(G43-AO43)))</f>
        <v/>
      </c>
      <c r="AP103" s="15" t="str">
        <f aca="false">IF(AP43="","",IF(AP71=D43,0,AO103-(G43-AP43)))</f>
        <v/>
      </c>
      <c r="AQ103" s="15" t="str">
        <f aca="false">IF(AQ43="","",IF(AQ71=D43,0,AP103-(G43-AQ43)))</f>
        <v/>
      </c>
      <c r="AR103" s="15" t="str">
        <f aca="false">IF(AR43="","",IF(AR71=D43,0,AQ103-(G43-AR43)))</f>
        <v/>
      </c>
      <c r="AS103" s="15" t="str">
        <f aca="false">IF(AS43="","",IF(AS71=D43,0,AR103-(G43-AS43)))</f>
        <v/>
      </c>
      <c r="AT103" s="15" t="str">
        <f aca="false">IF(AT43="","",IF(AT71=D43,0,AS103-(G43-AT43)))</f>
        <v/>
      </c>
      <c r="AU103" s="15" t="str">
        <f aca="false">IF(AU43="","",IF(AU71=D43,0,AT103-(G43-AU43)))</f>
        <v/>
      </c>
      <c r="AV103" s="15" t="str">
        <f aca="false">IF(AV43="","",IF(AV71=D43,0,AU103-(G43-AV43)))</f>
        <v/>
      </c>
      <c r="AW103" s="15" t="str">
        <f aca="false">IF(AW43="","",IF(AW71=D43,0,AV103-(G43-AW43)))</f>
        <v/>
      </c>
      <c r="AX103" s="15" t="str">
        <f aca="false">IF(AX43="","",IF(AX71=D43,0,AW103-(G43-AX43)))</f>
        <v/>
      </c>
      <c r="AY103" s="15" t="str">
        <f aca="false">IF(AY43="","",IF(AY71=D43,0,AX103-(G43-AY43)))</f>
        <v/>
      </c>
      <c r="AZ103" s="15" t="str">
        <f aca="false">IF(AZ43="","",IF(AZ71=D43,0,AY103-(G43-AZ43)))</f>
        <v/>
      </c>
      <c r="BA103" s="15" t="str">
        <f aca="false">IF(BA43="","",IF(BA71=D43,0,AZ103-(G43-BA43)))</f>
        <v/>
      </c>
      <c r="BB103" s="15" t="str">
        <f aca="false">IF(BB43="","",IF(BB71=D43,0,BA103-(G43-BB43)))</f>
        <v/>
      </c>
      <c r="BC103" s="15" t="str">
        <f aca="false">IF(BC43="","",IF(BC71=D43,0,BB103-(G43-BC43)))</f>
        <v/>
      </c>
      <c r="BD103" s="15" t="str">
        <f aca="false">IF(BD43="","",IF(BD71=D43,0,BC103-(G43-BD43)))</f>
        <v/>
      </c>
      <c r="BE103" s="15" t="str">
        <f aca="false">IF(BE43="","",IF(BE71=D43,0,BD103-(G43-BE43)))</f>
        <v/>
      </c>
      <c r="BF103" s="15" t="str">
        <f aca="false">IF(BF43="","",IF(BF71=D43,0,BE103-(G43-BF43)))</f>
        <v/>
      </c>
      <c r="BG103" s="15" t="str">
        <f aca="false">IF(BG43="","",IF(BG71=D43,0,BF103-(G43-BG43)))</f>
        <v/>
      </c>
      <c r="BH103" s="15" t="str">
        <f aca="false">IF(BH43="","",IF(BH71=D43,0,BG103-(G43-BH43)))</f>
        <v/>
      </c>
      <c r="BI103" s="15" t="str">
        <f aca="false">IF(BI43="","",IF(BI71=D43,0,BH103-(G43-BI43)))</f>
        <v/>
      </c>
      <c r="BJ103" s="15" t="str">
        <f aca="false">IF(BJ43="","",IF(BJ71=D43,0,BI103-(G43-BJ43)))</f>
        <v/>
      </c>
      <c r="BK103" s="15" t="str">
        <f aca="false">IF(BK43="","",IF(BK71=D43,0,BJ103-(G43-BK43)))</f>
        <v/>
      </c>
      <c r="BL103" s="15" t="str">
        <f aca="false">IF(BL43="","",IF(BL71=D43,0,BK103-(G43-BL43)))</f>
        <v/>
      </c>
      <c r="BM103" s="15" t="str">
        <f aca="false">IF(BM43="","",IF(BM71=D43,0,BL103-(G43-BM43)))</f>
        <v/>
      </c>
      <c r="BN103" s="15" t="str">
        <f aca="false">IF(BN43="","",IF(BN71=D43,0,BM103-(G43-BN43)))</f>
        <v/>
      </c>
      <c r="BO103" s="15" t="str">
        <f aca="false">IF(BO43="","",IF(BO71=D43,0,BN103-(G43-BO43)))</f>
        <v/>
      </c>
      <c r="BP103" s="15" t="str">
        <f aca="false">IF(BP43="","",IF(BP71=D43,0,BO103-(G43-BP43)))</f>
        <v/>
      </c>
    </row>
    <row r="104" customFormat="false" ht="15" hidden="false" customHeight="false" outlineLevel="0" collapsed="false">
      <c r="A104" s="29" t="str">
        <f aca="false">A44</f>
        <v/>
      </c>
      <c r="B104" s="29" t="str">
        <f aca="false">B44</f>
        <v/>
      </c>
      <c r="C104" s="29" t="str">
        <f aca="false">C44</f>
        <v/>
      </c>
      <c r="D104" s="16" t="str">
        <f aca="false">D44</f>
        <v/>
      </c>
      <c r="E104" s="17" t="str">
        <f aca="false">E44</f>
        <v/>
      </c>
      <c r="F104" s="15" t="str">
        <f aca="false">F44</f>
        <v/>
      </c>
      <c r="G104" s="15" t="str">
        <f aca="false">G44</f>
        <v/>
      </c>
      <c r="I104" s="15" t="str">
        <f aca="false">IF(I44="","",IF(I71=D44,0,F44-(G44-I44)))</f>
        <v/>
      </c>
      <c r="J104" s="15" t="str">
        <f aca="false">IF(J44="","",IF(J71=D44,0,I104-(G44-J44)))</f>
        <v/>
      </c>
      <c r="K104" s="15" t="str">
        <f aca="false">IF(K44="","",IF(K71=D44,0,J104-(G44-K44)))</f>
        <v/>
      </c>
      <c r="L104" s="15" t="str">
        <f aca="false">IF(L44="","",IF(L71=D44,0,K104-(G44-L44)))</f>
        <v/>
      </c>
      <c r="M104" s="15" t="str">
        <f aca="false">IF(M44="","",IF(M71=D44,0,L104-(G44-M44)))</f>
        <v/>
      </c>
      <c r="N104" s="15" t="str">
        <f aca="false">IF(N44="","",IF(N71=D44,0,M104-(G44-N44)))</f>
        <v/>
      </c>
      <c r="O104" s="15" t="str">
        <f aca="false">IF(O44="","",IF(O71=D44,0,N104-(G44-O44)))</f>
        <v/>
      </c>
      <c r="P104" s="15" t="str">
        <f aca="false">IF(P44="","",IF(P71=D44,0,O104-(G44-P44)))</f>
        <v/>
      </c>
      <c r="Q104" s="15" t="str">
        <f aca="false">IF(Q44="","",IF(Q71=D44,0,P104-(G44-Q44)))</f>
        <v/>
      </c>
      <c r="R104" s="15" t="str">
        <f aca="false">IF(R44="","",IF(R71=D44,0,Q104-(G44-R44)))</f>
        <v/>
      </c>
      <c r="S104" s="15" t="str">
        <f aca="false">IF(S44="","",IF(S71=D44,0,R104-(G44-S44)))</f>
        <v/>
      </c>
      <c r="T104" s="15" t="str">
        <f aca="false">IF(T44="","",IF(T71=D44,0,S104-(G44-T44)))</f>
        <v/>
      </c>
      <c r="U104" s="15" t="str">
        <f aca="false">IF(U44="","",IF(U71=D44,0,T104-(G44-U44)))</f>
        <v/>
      </c>
      <c r="V104" s="15" t="str">
        <f aca="false">IF(V44="","",IF(V71=D44,0,U104-(G44-V44)))</f>
        <v/>
      </c>
      <c r="W104" s="15" t="str">
        <f aca="false">IF(W44="","",IF(W71=D44,0,V104-(G44-W44)))</f>
        <v/>
      </c>
      <c r="X104" s="15" t="str">
        <f aca="false">IF(X44="","",IF(X71=D44,0,W104-(G44-X44)))</f>
        <v/>
      </c>
      <c r="Y104" s="15" t="str">
        <f aca="false">IF(Y44="","",IF(Y71=D44,0,X104-(G44-Y44)))</f>
        <v/>
      </c>
      <c r="Z104" s="15" t="str">
        <f aca="false">IF(Z44="","",IF(Z71=D44,0,Y104-(G44-Z44)))</f>
        <v/>
      </c>
      <c r="AA104" s="15" t="str">
        <f aca="false">IF(AA44="","",IF(AA71=D44,0,Z104-(G44-AA44)))</f>
        <v/>
      </c>
      <c r="AB104" s="15" t="str">
        <f aca="false">IF(AB44="","",IF(AB71=D44,0,AA104-(G44-AB44)))</f>
        <v/>
      </c>
      <c r="AC104" s="15" t="str">
        <f aca="false">IF(AC44="","",IF(AC71=D44,0,AB104-(G44-AC44)))</f>
        <v/>
      </c>
      <c r="AD104" s="15" t="str">
        <f aca="false">IF(AD44="","",IF(AD71=D44,0,AC104-(G44-AD44)))</f>
        <v/>
      </c>
      <c r="AE104" s="15" t="str">
        <f aca="false">IF(AE44="","",IF(AE71=D44,0,AD104-(G44-AE44)))</f>
        <v/>
      </c>
      <c r="AF104" s="15" t="str">
        <f aca="false">IF(AF44="","",IF(AF71=D44,0,AE104-(G44-AF44)))</f>
        <v/>
      </c>
      <c r="AG104" s="15" t="str">
        <f aca="false">IF(AG44="","",IF(AG71=D44,0,AF104-(G44-AG44)))</f>
        <v/>
      </c>
      <c r="AH104" s="15" t="str">
        <f aca="false">IF(AH44="","",IF(AH71=D44,0,AG104-(G44-AH44)))</f>
        <v/>
      </c>
      <c r="AI104" s="15" t="str">
        <f aca="false">IF(AI44="","",IF(AI71=D44,0,AH104-(G44-AI44)))</f>
        <v/>
      </c>
      <c r="AJ104" s="15" t="str">
        <f aca="false">IF(AJ44="","",IF(AJ71=D44,0,AI104-(G44-AJ44)))</f>
        <v/>
      </c>
      <c r="AK104" s="15" t="str">
        <f aca="false">IF(AK44="","",IF(AK71=D44,0,AJ104-(G44-AK44)))</f>
        <v/>
      </c>
      <c r="AL104" s="15" t="str">
        <f aca="false">IF(AL44="","",IF(AL71=D44,0,AK104-(G44-AL44)))</f>
        <v/>
      </c>
      <c r="AM104" s="15" t="str">
        <f aca="false">IF(AM44="","",IF(AM71=D44,0,AL104-(G44-AM44)))</f>
        <v/>
      </c>
      <c r="AN104" s="15" t="str">
        <f aca="false">IF(AN44="","",IF(AN71=D44,0,AM104-(G44-AN44)))</f>
        <v/>
      </c>
      <c r="AO104" s="15" t="str">
        <f aca="false">IF(AO44="","",IF(AO71=D44,0,AN104-(G44-AO44)))</f>
        <v/>
      </c>
      <c r="AP104" s="15" t="str">
        <f aca="false">IF(AP44="","",IF(AP71=D44,0,AO104-(G44-AP44)))</f>
        <v/>
      </c>
      <c r="AQ104" s="15" t="str">
        <f aca="false">IF(AQ44="","",IF(AQ71=D44,0,AP104-(G44-AQ44)))</f>
        <v/>
      </c>
      <c r="AR104" s="15" t="str">
        <f aca="false">IF(AR44="","",IF(AR71=D44,0,AQ104-(G44-AR44)))</f>
        <v/>
      </c>
      <c r="AS104" s="15" t="str">
        <f aca="false">IF(AS44="","",IF(AS71=D44,0,AR104-(G44-AS44)))</f>
        <v/>
      </c>
      <c r="AT104" s="15" t="str">
        <f aca="false">IF(AT44="","",IF(AT71=D44,0,AS104-(G44-AT44)))</f>
        <v/>
      </c>
      <c r="AU104" s="15" t="str">
        <f aca="false">IF(AU44="","",IF(AU71=D44,0,AT104-(G44-AU44)))</f>
        <v/>
      </c>
      <c r="AV104" s="15" t="str">
        <f aca="false">IF(AV44="","",IF(AV71=D44,0,AU104-(G44-AV44)))</f>
        <v/>
      </c>
      <c r="AW104" s="15" t="str">
        <f aca="false">IF(AW44="","",IF(AW71=D44,0,AV104-(G44-AW44)))</f>
        <v/>
      </c>
      <c r="AX104" s="15" t="str">
        <f aca="false">IF(AX44="","",IF(AX71=D44,0,AW104-(G44-AX44)))</f>
        <v/>
      </c>
      <c r="AY104" s="15" t="str">
        <f aca="false">IF(AY44="","",IF(AY71=D44,0,AX104-(G44-AY44)))</f>
        <v/>
      </c>
      <c r="AZ104" s="15" t="str">
        <f aca="false">IF(AZ44="","",IF(AZ71=D44,0,AY104-(G44-AZ44)))</f>
        <v/>
      </c>
      <c r="BA104" s="15" t="str">
        <f aca="false">IF(BA44="","",IF(BA71=D44,0,AZ104-(G44-BA44)))</f>
        <v/>
      </c>
      <c r="BB104" s="15" t="str">
        <f aca="false">IF(BB44="","",IF(BB71=D44,0,BA104-(G44-BB44)))</f>
        <v/>
      </c>
      <c r="BC104" s="15" t="str">
        <f aca="false">IF(BC44="","",IF(BC71=D44,0,BB104-(G44-BC44)))</f>
        <v/>
      </c>
      <c r="BD104" s="15" t="str">
        <f aca="false">IF(BD44="","",IF(BD71=D44,0,BC104-(G44-BD44)))</f>
        <v/>
      </c>
      <c r="BE104" s="15" t="str">
        <f aca="false">IF(BE44="","",IF(BE71=D44,0,BD104-(G44-BE44)))</f>
        <v/>
      </c>
      <c r="BF104" s="15" t="str">
        <f aca="false">IF(BF44="","",IF(BF71=D44,0,BE104-(G44-BF44)))</f>
        <v/>
      </c>
      <c r="BG104" s="15" t="str">
        <f aca="false">IF(BG44="","",IF(BG71=D44,0,BF104-(G44-BG44)))</f>
        <v/>
      </c>
      <c r="BH104" s="15" t="str">
        <f aca="false">IF(BH44="","",IF(BH71=D44,0,BG104-(G44-BH44)))</f>
        <v/>
      </c>
      <c r="BI104" s="15" t="str">
        <f aca="false">IF(BI44="","",IF(BI71=D44,0,BH104-(G44-BI44)))</f>
        <v/>
      </c>
      <c r="BJ104" s="15" t="str">
        <f aca="false">IF(BJ44="","",IF(BJ71=D44,0,BI104-(G44-BJ44)))</f>
        <v/>
      </c>
      <c r="BK104" s="15" t="str">
        <f aca="false">IF(BK44="","",IF(BK71=D44,0,BJ104-(G44-BK44)))</f>
        <v/>
      </c>
      <c r="BL104" s="15" t="str">
        <f aca="false">IF(BL44="","",IF(BL71=D44,0,BK104-(G44-BL44)))</f>
        <v/>
      </c>
      <c r="BM104" s="15" t="str">
        <f aca="false">IF(BM44="","",IF(BM71=D44,0,BL104-(G44-BM44)))</f>
        <v/>
      </c>
      <c r="BN104" s="15" t="str">
        <f aca="false">IF(BN44="","",IF(BN71=D44,0,BM104-(G44-BN44)))</f>
        <v/>
      </c>
      <c r="BO104" s="15" t="str">
        <f aca="false">IF(BO44="","",IF(BO71=D44,0,BN104-(G44-BO44)))</f>
        <v/>
      </c>
      <c r="BP104" s="15" t="str">
        <f aca="false">IF(BP44="","",IF(BP71=D44,0,BO104-(G44-BP44)))</f>
        <v/>
      </c>
    </row>
    <row r="105" customFormat="false" ht="15" hidden="false" customHeight="false" outlineLevel="0" collapsed="false">
      <c r="A105" s="29" t="str">
        <f aca="false">A45</f>
        <v/>
      </c>
      <c r="B105" s="29" t="str">
        <f aca="false">B45</f>
        <v/>
      </c>
      <c r="C105" s="29" t="str">
        <f aca="false">C45</f>
        <v/>
      </c>
      <c r="D105" s="16" t="str">
        <f aca="false">D45</f>
        <v/>
      </c>
      <c r="E105" s="17" t="str">
        <f aca="false">E45</f>
        <v/>
      </c>
      <c r="F105" s="15" t="str">
        <f aca="false">F45</f>
        <v/>
      </c>
      <c r="G105" s="15" t="str">
        <f aca="false">G45</f>
        <v/>
      </c>
      <c r="I105" s="15" t="str">
        <f aca="false">IF(I45="","",IF(I71=D45,0,F45-(G45-I45)))</f>
        <v/>
      </c>
      <c r="J105" s="15" t="str">
        <f aca="false">IF(J45="","",IF(J71=D45,0,I105-(G45-J45)))</f>
        <v/>
      </c>
      <c r="K105" s="15" t="str">
        <f aca="false">IF(K45="","",IF(K71=D45,0,J105-(G45-K45)))</f>
        <v/>
      </c>
      <c r="L105" s="15" t="str">
        <f aca="false">IF(L45="","",IF(L71=D45,0,K105-(G45-L45)))</f>
        <v/>
      </c>
      <c r="M105" s="15" t="str">
        <f aca="false">IF(M45="","",IF(M71=D45,0,L105-(G45-M45)))</f>
        <v/>
      </c>
      <c r="N105" s="15" t="str">
        <f aca="false">IF(N45="","",IF(N71=D45,0,M105-(G45-N45)))</f>
        <v/>
      </c>
      <c r="O105" s="15" t="str">
        <f aca="false">IF(O45="","",IF(O71=D45,0,N105-(G45-O45)))</f>
        <v/>
      </c>
      <c r="P105" s="15" t="str">
        <f aca="false">IF(P45="","",IF(P71=D45,0,O105-(G45-P45)))</f>
        <v/>
      </c>
      <c r="Q105" s="15" t="str">
        <f aca="false">IF(Q45="","",IF(Q71=D45,0,P105-(G45-Q45)))</f>
        <v/>
      </c>
      <c r="R105" s="15" t="str">
        <f aca="false">IF(R45="","",IF(R71=D45,0,Q105-(G45-R45)))</f>
        <v/>
      </c>
      <c r="S105" s="15" t="str">
        <f aca="false">IF(S45="","",IF(S71=D45,0,R105-(G45-S45)))</f>
        <v/>
      </c>
      <c r="T105" s="15" t="str">
        <f aca="false">IF(T45="","",IF(T71=D45,0,S105-(G45-T45)))</f>
        <v/>
      </c>
      <c r="U105" s="15" t="str">
        <f aca="false">IF(U45="","",IF(U71=D45,0,T105-(G45-U45)))</f>
        <v/>
      </c>
      <c r="V105" s="15" t="str">
        <f aca="false">IF(V45="","",IF(V71=D45,0,U105-(G45-V45)))</f>
        <v/>
      </c>
      <c r="W105" s="15" t="str">
        <f aca="false">IF(W45="","",IF(W71=D45,0,V105-(G45-W45)))</f>
        <v/>
      </c>
      <c r="X105" s="15" t="str">
        <f aca="false">IF(X45="","",IF(X71=D45,0,W105-(G45-X45)))</f>
        <v/>
      </c>
      <c r="Y105" s="15" t="str">
        <f aca="false">IF(Y45="","",IF(Y71=D45,0,X105-(G45-Y45)))</f>
        <v/>
      </c>
      <c r="Z105" s="15" t="str">
        <f aca="false">IF(Z45="","",IF(Z71=D45,0,Y105-(G45-Z45)))</f>
        <v/>
      </c>
      <c r="AA105" s="15" t="str">
        <f aca="false">IF(AA45="","",IF(AA71=D45,0,Z105-(G45-AA45)))</f>
        <v/>
      </c>
      <c r="AB105" s="15" t="str">
        <f aca="false">IF(AB45="","",IF(AB71=D45,0,AA105-(G45-AB45)))</f>
        <v/>
      </c>
      <c r="AC105" s="15" t="str">
        <f aca="false">IF(AC45="","",IF(AC71=D45,0,AB105-(G45-AC45)))</f>
        <v/>
      </c>
      <c r="AD105" s="15" t="str">
        <f aca="false">IF(AD45="","",IF(AD71=D45,0,AC105-(G45-AD45)))</f>
        <v/>
      </c>
      <c r="AE105" s="15" t="str">
        <f aca="false">IF(AE45="","",IF(AE71=D45,0,AD105-(G45-AE45)))</f>
        <v/>
      </c>
      <c r="AF105" s="15" t="str">
        <f aca="false">IF(AF45="","",IF(AF71=D45,0,AE105-(G45-AF45)))</f>
        <v/>
      </c>
      <c r="AG105" s="15" t="str">
        <f aca="false">IF(AG45="","",IF(AG71=D45,0,AF105-(G45-AG45)))</f>
        <v/>
      </c>
      <c r="AH105" s="15" t="str">
        <f aca="false">IF(AH45="","",IF(AH71=D45,0,AG105-(G45-AH45)))</f>
        <v/>
      </c>
      <c r="AI105" s="15" t="str">
        <f aca="false">IF(AI45="","",IF(AI71=D45,0,AH105-(G45-AI45)))</f>
        <v/>
      </c>
      <c r="AJ105" s="15" t="str">
        <f aca="false">IF(AJ45="","",IF(AJ71=D45,0,AI105-(G45-AJ45)))</f>
        <v/>
      </c>
      <c r="AK105" s="15" t="str">
        <f aca="false">IF(AK45="","",IF(AK71=D45,0,AJ105-(G45-AK45)))</f>
        <v/>
      </c>
      <c r="AL105" s="15" t="str">
        <f aca="false">IF(AL45="","",IF(AL71=D45,0,AK105-(G45-AL45)))</f>
        <v/>
      </c>
      <c r="AM105" s="15" t="str">
        <f aca="false">IF(AM45="","",IF(AM71=D45,0,AL105-(G45-AM45)))</f>
        <v/>
      </c>
      <c r="AN105" s="15" t="str">
        <f aca="false">IF(AN45="","",IF(AN71=D45,0,AM105-(G45-AN45)))</f>
        <v/>
      </c>
      <c r="AO105" s="15" t="str">
        <f aca="false">IF(AO45="","",IF(AO71=D45,0,AN105-(G45-AO45)))</f>
        <v/>
      </c>
      <c r="AP105" s="15" t="str">
        <f aca="false">IF(AP45="","",IF(AP71=D45,0,AO105-(G45-AP45)))</f>
        <v/>
      </c>
      <c r="AQ105" s="15" t="str">
        <f aca="false">IF(AQ45="","",IF(AQ71=D45,0,AP105-(G45-AQ45)))</f>
        <v/>
      </c>
      <c r="AR105" s="15" t="str">
        <f aca="false">IF(AR45="","",IF(AR71=D45,0,AQ105-(G45-AR45)))</f>
        <v/>
      </c>
      <c r="AS105" s="15" t="str">
        <f aca="false">IF(AS45="","",IF(AS71=D45,0,AR105-(G45-AS45)))</f>
        <v/>
      </c>
      <c r="AT105" s="15" t="str">
        <f aca="false">IF(AT45="","",IF(AT71=D45,0,AS105-(G45-AT45)))</f>
        <v/>
      </c>
      <c r="AU105" s="15" t="str">
        <f aca="false">IF(AU45="","",IF(AU71=D45,0,AT105-(G45-AU45)))</f>
        <v/>
      </c>
      <c r="AV105" s="15" t="str">
        <f aca="false">IF(AV45="","",IF(AV71=D45,0,AU105-(G45-AV45)))</f>
        <v/>
      </c>
      <c r="AW105" s="15" t="str">
        <f aca="false">IF(AW45="","",IF(AW71=D45,0,AV105-(G45-AW45)))</f>
        <v/>
      </c>
      <c r="AX105" s="15" t="str">
        <f aca="false">IF(AX45="","",IF(AX71=D45,0,AW105-(G45-AX45)))</f>
        <v/>
      </c>
      <c r="AY105" s="15" t="str">
        <f aca="false">IF(AY45="","",IF(AY71=D45,0,AX105-(G45-AY45)))</f>
        <v/>
      </c>
      <c r="AZ105" s="15" t="str">
        <f aca="false">IF(AZ45="","",IF(AZ71=D45,0,AY105-(G45-AZ45)))</f>
        <v/>
      </c>
      <c r="BA105" s="15" t="str">
        <f aca="false">IF(BA45="","",IF(BA71=D45,0,AZ105-(G45-BA45)))</f>
        <v/>
      </c>
      <c r="BB105" s="15" t="str">
        <f aca="false">IF(BB45="","",IF(BB71=D45,0,BA105-(G45-BB45)))</f>
        <v/>
      </c>
      <c r="BC105" s="15" t="str">
        <f aca="false">IF(BC45="","",IF(BC71=D45,0,BB105-(G45-BC45)))</f>
        <v/>
      </c>
      <c r="BD105" s="15" t="str">
        <f aca="false">IF(BD45="","",IF(BD71=D45,0,BC105-(G45-BD45)))</f>
        <v/>
      </c>
      <c r="BE105" s="15" t="str">
        <f aca="false">IF(BE45="","",IF(BE71=D45,0,BD105-(G45-BE45)))</f>
        <v/>
      </c>
      <c r="BF105" s="15" t="str">
        <f aca="false">IF(BF45="","",IF(BF71=D45,0,BE105-(G45-BF45)))</f>
        <v/>
      </c>
      <c r="BG105" s="15" t="str">
        <f aca="false">IF(BG45="","",IF(BG71=D45,0,BF105-(G45-BG45)))</f>
        <v/>
      </c>
      <c r="BH105" s="15" t="str">
        <f aca="false">IF(BH45="","",IF(BH71=D45,0,BG105-(G45-BH45)))</f>
        <v/>
      </c>
      <c r="BI105" s="15" t="str">
        <f aca="false">IF(BI45="","",IF(BI71=D45,0,BH105-(G45-BI45)))</f>
        <v/>
      </c>
      <c r="BJ105" s="15" t="str">
        <f aca="false">IF(BJ45="","",IF(BJ71=D45,0,BI105-(G45-BJ45)))</f>
        <v/>
      </c>
      <c r="BK105" s="15" t="str">
        <f aca="false">IF(BK45="","",IF(BK71=D45,0,BJ105-(G45-BK45)))</f>
        <v/>
      </c>
      <c r="BL105" s="15" t="str">
        <f aca="false">IF(BL45="","",IF(BL71=D45,0,BK105-(G45-BL45)))</f>
        <v/>
      </c>
      <c r="BM105" s="15" t="str">
        <f aca="false">IF(BM45="","",IF(BM71=D45,0,BL105-(G45-BM45)))</f>
        <v/>
      </c>
      <c r="BN105" s="15" t="str">
        <f aca="false">IF(BN45="","",IF(BN71=D45,0,BM105-(G45-BN45)))</f>
        <v/>
      </c>
      <c r="BO105" s="15" t="str">
        <f aca="false">IF(BO45="","",IF(BO71=D45,0,BN105-(G45-BO45)))</f>
        <v/>
      </c>
      <c r="BP105" s="15" t="str">
        <f aca="false">IF(BP45="","",IF(BP71=D45,0,BO105-(G45-BP45)))</f>
        <v/>
      </c>
    </row>
    <row r="106" customFormat="false" ht="15" hidden="false" customHeight="false" outlineLevel="0" collapsed="false">
      <c r="A106" s="29" t="str">
        <f aca="false">A46</f>
        <v/>
      </c>
      <c r="B106" s="29" t="str">
        <f aca="false">B46</f>
        <v/>
      </c>
      <c r="C106" s="29" t="str">
        <f aca="false">C46</f>
        <v/>
      </c>
      <c r="D106" s="16" t="str">
        <f aca="false">D46</f>
        <v/>
      </c>
      <c r="E106" s="17" t="str">
        <f aca="false">E46</f>
        <v/>
      </c>
      <c r="F106" s="15" t="str">
        <f aca="false">F46</f>
        <v/>
      </c>
      <c r="G106" s="15" t="str">
        <f aca="false">G46</f>
        <v/>
      </c>
      <c r="I106" s="15" t="str">
        <f aca="false">IF(I46="","",IF(I71=D46,0,F46-(G46-I46)))</f>
        <v/>
      </c>
      <c r="J106" s="15" t="str">
        <f aca="false">IF(J46="","",IF(J71=D46,0,I106-(G46-J46)))</f>
        <v/>
      </c>
      <c r="K106" s="15" t="str">
        <f aca="false">IF(K46="","",IF(K71=D46,0,J106-(G46-K46)))</f>
        <v/>
      </c>
      <c r="L106" s="15" t="str">
        <f aca="false">IF(L46="","",IF(L71=D46,0,K106-(G46-L46)))</f>
        <v/>
      </c>
      <c r="M106" s="15" t="str">
        <f aca="false">IF(M46="","",IF(M71=D46,0,L106-(G46-M46)))</f>
        <v/>
      </c>
      <c r="N106" s="15" t="str">
        <f aca="false">IF(N46="","",IF(N71=D46,0,M106-(G46-N46)))</f>
        <v/>
      </c>
      <c r="O106" s="15" t="str">
        <f aca="false">IF(O46="","",IF(O71=D46,0,N106-(G46-O46)))</f>
        <v/>
      </c>
      <c r="P106" s="15" t="str">
        <f aca="false">IF(P46="","",IF(P71=D46,0,O106-(G46-P46)))</f>
        <v/>
      </c>
      <c r="Q106" s="15" t="str">
        <f aca="false">IF(Q46="","",IF(Q71=D46,0,P106-(G46-Q46)))</f>
        <v/>
      </c>
      <c r="R106" s="15" t="str">
        <f aca="false">IF(R46="","",IF(R71=D46,0,Q106-(G46-R46)))</f>
        <v/>
      </c>
      <c r="S106" s="15" t="str">
        <f aca="false">IF(S46="","",IF(S71=D46,0,R106-(G46-S46)))</f>
        <v/>
      </c>
      <c r="T106" s="15" t="str">
        <f aca="false">IF(T46="","",IF(T71=D46,0,S106-(G46-T46)))</f>
        <v/>
      </c>
      <c r="U106" s="15" t="str">
        <f aca="false">IF(U46="","",IF(U71=D46,0,T106-(G46-U46)))</f>
        <v/>
      </c>
      <c r="V106" s="15" t="str">
        <f aca="false">IF(V46="","",IF(V71=D46,0,U106-(G46-V46)))</f>
        <v/>
      </c>
      <c r="W106" s="15" t="str">
        <f aca="false">IF(W46="","",IF(W71=D46,0,V106-(G46-W46)))</f>
        <v/>
      </c>
      <c r="X106" s="15" t="str">
        <f aca="false">IF(X46="","",IF(X71=D46,0,W106-(G46-X46)))</f>
        <v/>
      </c>
      <c r="Y106" s="15" t="str">
        <f aca="false">IF(Y46="","",IF(Y71=D46,0,X106-(G46-Y46)))</f>
        <v/>
      </c>
      <c r="Z106" s="15" t="str">
        <f aca="false">IF(Z46="","",IF(Z71=D46,0,Y106-(G46-Z46)))</f>
        <v/>
      </c>
      <c r="AA106" s="15" t="str">
        <f aca="false">IF(AA46="","",IF(AA71=D46,0,Z106-(G46-AA46)))</f>
        <v/>
      </c>
      <c r="AB106" s="15" t="str">
        <f aca="false">IF(AB46="","",IF(AB71=D46,0,AA106-(G46-AB46)))</f>
        <v/>
      </c>
      <c r="AC106" s="15" t="str">
        <f aca="false">IF(AC46="","",IF(AC71=D46,0,AB106-(G46-AC46)))</f>
        <v/>
      </c>
      <c r="AD106" s="15" t="str">
        <f aca="false">IF(AD46="","",IF(AD71=D46,0,AC106-(G46-AD46)))</f>
        <v/>
      </c>
      <c r="AE106" s="15" t="str">
        <f aca="false">IF(AE46="","",IF(AE71=D46,0,AD106-(G46-AE46)))</f>
        <v/>
      </c>
      <c r="AF106" s="15" t="str">
        <f aca="false">IF(AF46="","",IF(AF71=D46,0,AE106-(G46-AF46)))</f>
        <v/>
      </c>
      <c r="AG106" s="15" t="str">
        <f aca="false">IF(AG46="","",IF(AG71=D46,0,AF106-(G46-AG46)))</f>
        <v/>
      </c>
      <c r="AH106" s="15" t="str">
        <f aca="false">IF(AH46="","",IF(AH71=D46,0,AG106-(G46-AH46)))</f>
        <v/>
      </c>
      <c r="AI106" s="15" t="str">
        <f aca="false">IF(AI46="","",IF(AI71=D46,0,AH106-(G46-AI46)))</f>
        <v/>
      </c>
      <c r="AJ106" s="15" t="str">
        <f aca="false">IF(AJ46="","",IF(AJ71=D46,0,AI106-(G46-AJ46)))</f>
        <v/>
      </c>
      <c r="AK106" s="15" t="str">
        <f aca="false">IF(AK46="","",IF(AK71=D46,0,AJ106-(G46-AK46)))</f>
        <v/>
      </c>
      <c r="AL106" s="15" t="str">
        <f aca="false">IF(AL46="","",IF(AL71=D46,0,AK106-(G46-AL46)))</f>
        <v/>
      </c>
      <c r="AM106" s="15" t="str">
        <f aca="false">IF(AM46="","",IF(AM71=D46,0,AL106-(G46-AM46)))</f>
        <v/>
      </c>
      <c r="AN106" s="15" t="str">
        <f aca="false">IF(AN46="","",IF(AN71=D46,0,AM106-(G46-AN46)))</f>
        <v/>
      </c>
      <c r="AO106" s="15" t="str">
        <f aca="false">IF(AO46="","",IF(AO71=D46,0,AN106-(G46-AO46)))</f>
        <v/>
      </c>
      <c r="AP106" s="15" t="str">
        <f aca="false">IF(AP46="","",IF(AP71=D46,0,AO106-(G46-AP46)))</f>
        <v/>
      </c>
      <c r="AQ106" s="15" t="str">
        <f aca="false">IF(AQ46="","",IF(AQ71=D46,0,AP106-(G46-AQ46)))</f>
        <v/>
      </c>
      <c r="AR106" s="15" t="str">
        <f aca="false">IF(AR46="","",IF(AR71=D46,0,AQ106-(G46-AR46)))</f>
        <v/>
      </c>
      <c r="AS106" s="15" t="str">
        <f aca="false">IF(AS46="","",IF(AS71=D46,0,AR106-(G46-AS46)))</f>
        <v/>
      </c>
      <c r="AT106" s="15" t="str">
        <f aca="false">IF(AT46="","",IF(AT71=D46,0,AS106-(G46-AT46)))</f>
        <v/>
      </c>
      <c r="AU106" s="15" t="str">
        <f aca="false">IF(AU46="","",IF(AU71=D46,0,AT106-(G46-AU46)))</f>
        <v/>
      </c>
      <c r="AV106" s="15" t="str">
        <f aca="false">IF(AV46="","",IF(AV71=D46,0,AU106-(G46-AV46)))</f>
        <v/>
      </c>
      <c r="AW106" s="15" t="str">
        <f aca="false">IF(AW46="","",IF(AW71=D46,0,AV106-(G46-AW46)))</f>
        <v/>
      </c>
      <c r="AX106" s="15" t="str">
        <f aca="false">IF(AX46="","",IF(AX71=D46,0,AW106-(G46-AX46)))</f>
        <v/>
      </c>
      <c r="AY106" s="15" t="str">
        <f aca="false">IF(AY46="","",IF(AY71=D46,0,AX106-(G46-AY46)))</f>
        <v/>
      </c>
      <c r="AZ106" s="15" t="str">
        <f aca="false">IF(AZ46="","",IF(AZ71=D46,0,AY106-(G46-AZ46)))</f>
        <v/>
      </c>
      <c r="BA106" s="15" t="str">
        <f aca="false">IF(BA46="","",IF(BA71=D46,0,AZ106-(G46-BA46)))</f>
        <v/>
      </c>
      <c r="BB106" s="15" t="str">
        <f aca="false">IF(BB46="","",IF(BB71=D46,0,BA106-(G46-BB46)))</f>
        <v/>
      </c>
      <c r="BC106" s="15" t="str">
        <f aca="false">IF(BC46="","",IF(BC71=D46,0,BB106-(G46-BC46)))</f>
        <v/>
      </c>
      <c r="BD106" s="15" t="str">
        <f aca="false">IF(BD46="","",IF(BD71=D46,0,BC106-(G46-BD46)))</f>
        <v/>
      </c>
      <c r="BE106" s="15" t="str">
        <f aca="false">IF(BE46="","",IF(BE71=D46,0,BD106-(G46-BE46)))</f>
        <v/>
      </c>
      <c r="BF106" s="15" t="str">
        <f aca="false">IF(BF46="","",IF(BF71=D46,0,BE106-(G46-BF46)))</f>
        <v/>
      </c>
      <c r="BG106" s="15" t="str">
        <f aca="false">IF(BG46="","",IF(BG71=D46,0,BF106-(G46-BG46)))</f>
        <v/>
      </c>
      <c r="BH106" s="15" t="str">
        <f aca="false">IF(BH46="","",IF(BH71=D46,0,BG106-(G46-BH46)))</f>
        <v/>
      </c>
      <c r="BI106" s="15" t="str">
        <f aca="false">IF(BI46="","",IF(BI71=D46,0,BH106-(G46-BI46)))</f>
        <v/>
      </c>
      <c r="BJ106" s="15" t="str">
        <f aca="false">IF(BJ46="","",IF(BJ71=D46,0,BI106-(G46-BJ46)))</f>
        <v/>
      </c>
      <c r="BK106" s="15" t="str">
        <f aca="false">IF(BK46="","",IF(BK71=D46,0,BJ106-(G46-BK46)))</f>
        <v/>
      </c>
      <c r="BL106" s="15" t="str">
        <f aca="false">IF(BL46="","",IF(BL71=D46,0,BK106-(G46-BL46)))</f>
        <v/>
      </c>
      <c r="BM106" s="15" t="str">
        <f aca="false">IF(BM46="","",IF(BM71=D46,0,BL106-(G46-BM46)))</f>
        <v/>
      </c>
      <c r="BN106" s="15" t="str">
        <f aca="false">IF(BN46="","",IF(BN71=D46,0,BM106-(G46-BN46)))</f>
        <v/>
      </c>
      <c r="BO106" s="15" t="str">
        <f aca="false">IF(BO46="","",IF(BO71=D46,0,BN106-(G46-BO46)))</f>
        <v/>
      </c>
      <c r="BP106" s="15" t="str">
        <f aca="false">IF(BP46="","",IF(BP71=D46,0,BO106-(G46-BP46)))</f>
        <v/>
      </c>
    </row>
    <row r="107" customFormat="false" ht="15" hidden="false" customHeight="false" outlineLevel="0" collapsed="false">
      <c r="A107" s="29" t="str">
        <f aca="false">A47</f>
        <v/>
      </c>
      <c r="B107" s="29" t="str">
        <f aca="false">B47</f>
        <v/>
      </c>
      <c r="C107" s="29" t="str">
        <f aca="false">C47</f>
        <v/>
      </c>
      <c r="D107" s="16" t="str">
        <f aca="false">D47</f>
        <v/>
      </c>
      <c r="E107" s="17" t="str">
        <f aca="false">E47</f>
        <v/>
      </c>
      <c r="F107" s="15" t="str">
        <f aca="false">F47</f>
        <v/>
      </c>
      <c r="G107" s="15" t="str">
        <f aca="false">G47</f>
        <v/>
      </c>
      <c r="I107" s="15" t="str">
        <f aca="false">IF(I47="","",IF(I71=D47,0,F47-(G47-I47)))</f>
        <v/>
      </c>
      <c r="J107" s="15" t="str">
        <f aca="false">IF(J47="","",IF(J71=D47,0,I107-(G47-J47)))</f>
        <v/>
      </c>
      <c r="K107" s="15" t="str">
        <f aca="false">IF(K47="","",IF(K71=D47,0,J107-(G47-K47)))</f>
        <v/>
      </c>
      <c r="L107" s="15" t="str">
        <f aca="false">IF(L47="","",IF(L71=D47,0,K107-(G47-L47)))</f>
        <v/>
      </c>
      <c r="M107" s="15" t="str">
        <f aca="false">IF(M47="","",IF(M71=D47,0,L107-(G47-M47)))</f>
        <v/>
      </c>
      <c r="N107" s="15" t="str">
        <f aca="false">IF(N47="","",IF(N71=D47,0,M107-(G47-N47)))</f>
        <v/>
      </c>
      <c r="O107" s="15" t="str">
        <f aca="false">IF(O47="","",IF(O71=D47,0,N107-(G47-O47)))</f>
        <v/>
      </c>
      <c r="P107" s="15" t="str">
        <f aca="false">IF(P47="","",IF(P71=D47,0,O107-(G47-P47)))</f>
        <v/>
      </c>
      <c r="Q107" s="15" t="str">
        <f aca="false">IF(Q47="","",IF(Q71=D47,0,P107-(G47-Q47)))</f>
        <v/>
      </c>
      <c r="R107" s="15" t="str">
        <f aca="false">IF(R47="","",IF(R71=D47,0,Q107-(G47-R47)))</f>
        <v/>
      </c>
      <c r="S107" s="15" t="str">
        <f aca="false">IF(S47="","",IF(S71=D47,0,R107-(G47-S47)))</f>
        <v/>
      </c>
      <c r="T107" s="15" t="str">
        <f aca="false">IF(T47="","",IF(T71=D47,0,S107-(G47-T47)))</f>
        <v/>
      </c>
      <c r="U107" s="15" t="str">
        <f aca="false">IF(U47="","",IF(U71=D47,0,T107-(G47-U47)))</f>
        <v/>
      </c>
      <c r="V107" s="15" t="str">
        <f aca="false">IF(V47="","",IF(V71=D47,0,U107-(G47-V47)))</f>
        <v/>
      </c>
      <c r="W107" s="15" t="str">
        <f aca="false">IF(W47="","",IF(W71=D47,0,V107-(G47-W47)))</f>
        <v/>
      </c>
      <c r="X107" s="15" t="str">
        <f aca="false">IF(X47="","",IF(X71=D47,0,W107-(G47-X47)))</f>
        <v/>
      </c>
      <c r="Y107" s="15" t="str">
        <f aca="false">IF(Y47="","",IF(Y71=D47,0,X107-(G47-Y47)))</f>
        <v/>
      </c>
      <c r="Z107" s="15" t="str">
        <f aca="false">IF(Z47="","",IF(Z71=D47,0,Y107-(G47-Z47)))</f>
        <v/>
      </c>
      <c r="AA107" s="15" t="str">
        <f aca="false">IF(AA47="","",IF(AA71=D47,0,Z107-(G47-AA47)))</f>
        <v/>
      </c>
      <c r="AB107" s="15" t="str">
        <f aca="false">IF(AB47="","",IF(AB71=D47,0,AA107-(G47-AB47)))</f>
        <v/>
      </c>
      <c r="AC107" s="15" t="str">
        <f aca="false">IF(AC47="","",IF(AC71=D47,0,AB107-(G47-AC47)))</f>
        <v/>
      </c>
      <c r="AD107" s="15" t="str">
        <f aca="false">IF(AD47="","",IF(AD71=D47,0,AC107-(G47-AD47)))</f>
        <v/>
      </c>
      <c r="AE107" s="15" t="str">
        <f aca="false">IF(AE47="","",IF(AE71=D47,0,AD107-(G47-AE47)))</f>
        <v/>
      </c>
      <c r="AF107" s="15" t="str">
        <f aca="false">IF(AF47="","",IF(AF71=D47,0,AE107-(G47-AF47)))</f>
        <v/>
      </c>
      <c r="AG107" s="15" t="str">
        <f aca="false">IF(AG47="","",IF(AG71=D47,0,AF107-(G47-AG47)))</f>
        <v/>
      </c>
      <c r="AH107" s="15" t="str">
        <f aca="false">IF(AH47="","",IF(AH71=D47,0,AG107-(G47-AH47)))</f>
        <v/>
      </c>
      <c r="AI107" s="15" t="str">
        <f aca="false">IF(AI47="","",IF(AI71=D47,0,AH107-(G47-AI47)))</f>
        <v/>
      </c>
      <c r="AJ107" s="15" t="str">
        <f aca="false">IF(AJ47="","",IF(AJ71=D47,0,AI107-(G47-AJ47)))</f>
        <v/>
      </c>
      <c r="AK107" s="15" t="str">
        <f aca="false">IF(AK47="","",IF(AK71=D47,0,AJ107-(G47-AK47)))</f>
        <v/>
      </c>
      <c r="AL107" s="15" t="str">
        <f aca="false">IF(AL47="","",IF(AL71=D47,0,AK107-(G47-AL47)))</f>
        <v/>
      </c>
      <c r="AM107" s="15" t="str">
        <f aca="false">IF(AM47="","",IF(AM71=D47,0,AL107-(G47-AM47)))</f>
        <v/>
      </c>
      <c r="AN107" s="15" t="str">
        <f aca="false">IF(AN47="","",IF(AN71=D47,0,AM107-(G47-AN47)))</f>
        <v/>
      </c>
      <c r="AO107" s="15" t="str">
        <f aca="false">IF(AO47="","",IF(AO71=D47,0,AN107-(G47-AO47)))</f>
        <v/>
      </c>
      <c r="AP107" s="15" t="str">
        <f aca="false">IF(AP47="","",IF(AP71=D47,0,AO107-(G47-AP47)))</f>
        <v/>
      </c>
      <c r="AQ107" s="15" t="str">
        <f aca="false">IF(AQ47="","",IF(AQ71=D47,0,AP107-(G47-AQ47)))</f>
        <v/>
      </c>
      <c r="AR107" s="15" t="str">
        <f aca="false">IF(AR47="","",IF(AR71=D47,0,AQ107-(G47-AR47)))</f>
        <v/>
      </c>
      <c r="AS107" s="15" t="str">
        <f aca="false">IF(AS47="","",IF(AS71=D47,0,AR107-(G47-AS47)))</f>
        <v/>
      </c>
      <c r="AT107" s="15" t="str">
        <f aca="false">IF(AT47="","",IF(AT71=D47,0,AS107-(G47-AT47)))</f>
        <v/>
      </c>
      <c r="AU107" s="15" t="str">
        <f aca="false">IF(AU47="","",IF(AU71=D47,0,AT107-(G47-AU47)))</f>
        <v/>
      </c>
      <c r="AV107" s="15" t="str">
        <f aca="false">IF(AV47="","",IF(AV71=D47,0,AU107-(G47-AV47)))</f>
        <v/>
      </c>
      <c r="AW107" s="15" t="str">
        <f aca="false">IF(AW47="","",IF(AW71=D47,0,AV107-(G47-AW47)))</f>
        <v/>
      </c>
      <c r="AX107" s="15" t="str">
        <f aca="false">IF(AX47="","",IF(AX71=D47,0,AW107-(G47-AX47)))</f>
        <v/>
      </c>
      <c r="AY107" s="15" t="str">
        <f aca="false">IF(AY47="","",IF(AY71=D47,0,AX107-(G47-AY47)))</f>
        <v/>
      </c>
      <c r="AZ107" s="15" t="str">
        <f aca="false">IF(AZ47="","",IF(AZ71=D47,0,AY107-(G47-AZ47)))</f>
        <v/>
      </c>
      <c r="BA107" s="15" t="str">
        <f aca="false">IF(BA47="","",IF(BA71=D47,0,AZ107-(G47-BA47)))</f>
        <v/>
      </c>
      <c r="BB107" s="15" t="str">
        <f aca="false">IF(BB47="","",IF(BB71=D47,0,BA107-(G47-BB47)))</f>
        <v/>
      </c>
      <c r="BC107" s="15" t="str">
        <f aca="false">IF(BC47="","",IF(BC71=D47,0,BB107-(G47-BC47)))</f>
        <v/>
      </c>
      <c r="BD107" s="15" t="str">
        <f aca="false">IF(BD47="","",IF(BD71=D47,0,BC107-(G47-BD47)))</f>
        <v/>
      </c>
      <c r="BE107" s="15" t="str">
        <f aca="false">IF(BE47="","",IF(BE71=D47,0,BD107-(G47-BE47)))</f>
        <v/>
      </c>
      <c r="BF107" s="15" t="str">
        <f aca="false">IF(BF47="","",IF(BF71=D47,0,BE107-(G47-BF47)))</f>
        <v/>
      </c>
      <c r="BG107" s="15" t="str">
        <f aca="false">IF(BG47="","",IF(BG71=D47,0,BF107-(G47-BG47)))</f>
        <v/>
      </c>
      <c r="BH107" s="15" t="str">
        <f aca="false">IF(BH47="","",IF(BH71=D47,0,BG107-(G47-BH47)))</f>
        <v/>
      </c>
      <c r="BI107" s="15" t="str">
        <f aca="false">IF(BI47="","",IF(BI71=D47,0,BH107-(G47-BI47)))</f>
        <v/>
      </c>
      <c r="BJ107" s="15" t="str">
        <f aca="false">IF(BJ47="","",IF(BJ71=D47,0,BI107-(G47-BJ47)))</f>
        <v/>
      </c>
      <c r="BK107" s="15" t="str">
        <f aca="false">IF(BK47="","",IF(BK71=D47,0,BJ107-(G47-BK47)))</f>
        <v/>
      </c>
      <c r="BL107" s="15" t="str">
        <f aca="false">IF(BL47="","",IF(BL71=D47,0,BK107-(G47-BL47)))</f>
        <v/>
      </c>
      <c r="BM107" s="15" t="str">
        <f aca="false">IF(BM47="","",IF(BM71=D47,0,BL107-(G47-BM47)))</f>
        <v/>
      </c>
      <c r="BN107" s="15" t="str">
        <f aca="false">IF(BN47="","",IF(BN71=D47,0,BM107-(G47-BN47)))</f>
        <v/>
      </c>
      <c r="BO107" s="15" t="str">
        <f aca="false">IF(BO47="","",IF(BO71=D47,0,BN107-(G47-BO47)))</f>
        <v/>
      </c>
      <c r="BP107" s="15" t="str">
        <f aca="false">IF(BP47="","",IF(BP71=D47,0,BO107-(G47-BP47)))</f>
        <v/>
      </c>
    </row>
    <row r="108" customFormat="false" ht="15" hidden="false" customHeight="false" outlineLevel="0" collapsed="false">
      <c r="A108" s="29" t="str">
        <f aca="false">A48</f>
        <v/>
      </c>
      <c r="B108" s="29" t="str">
        <f aca="false">B48</f>
        <v/>
      </c>
      <c r="C108" s="29" t="str">
        <f aca="false">C48</f>
        <v/>
      </c>
      <c r="D108" s="16" t="str">
        <f aca="false">D48</f>
        <v/>
      </c>
      <c r="E108" s="17" t="str">
        <f aca="false">E48</f>
        <v/>
      </c>
      <c r="F108" s="15" t="str">
        <f aca="false">F48</f>
        <v/>
      </c>
      <c r="G108" s="15" t="str">
        <f aca="false">G48</f>
        <v/>
      </c>
      <c r="I108" s="15" t="str">
        <f aca="false">IF(I48="","",IF(I71=D48,0,F48-(G48-I48)))</f>
        <v/>
      </c>
      <c r="J108" s="15" t="str">
        <f aca="false">IF(J48="","",IF(J71=D48,0,I108-(G48-J48)))</f>
        <v/>
      </c>
      <c r="K108" s="15" t="str">
        <f aca="false">IF(K48="","",IF(K71=D48,0,J108-(G48-K48)))</f>
        <v/>
      </c>
      <c r="L108" s="15" t="str">
        <f aca="false">IF(L48="","",IF(L71=D48,0,K108-(G48-L48)))</f>
        <v/>
      </c>
      <c r="M108" s="15" t="str">
        <f aca="false">IF(M48="","",IF(M71=D48,0,L108-(G48-M48)))</f>
        <v/>
      </c>
      <c r="N108" s="15" t="str">
        <f aca="false">IF(N48="","",IF(N71=D48,0,M108-(G48-N48)))</f>
        <v/>
      </c>
      <c r="O108" s="15" t="str">
        <f aca="false">IF(O48="","",IF(O71=D48,0,N108-(G48-O48)))</f>
        <v/>
      </c>
      <c r="P108" s="15" t="str">
        <f aca="false">IF(P48="","",IF(P71=D48,0,O108-(G48-P48)))</f>
        <v/>
      </c>
      <c r="Q108" s="15" t="str">
        <f aca="false">IF(Q48="","",IF(Q71=D48,0,P108-(G48-Q48)))</f>
        <v/>
      </c>
      <c r="R108" s="15" t="str">
        <f aca="false">IF(R48="","",IF(R71=D48,0,Q108-(G48-R48)))</f>
        <v/>
      </c>
      <c r="S108" s="15" t="str">
        <f aca="false">IF(S48="","",IF(S71=D48,0,R108-(G48-S48)))</f>
        <v/>
      </c>
      <c r="T108" s="15" t="str">
        <f aca="false">IF(T48="","",IF(T71=D48,0,S108-(G48-T48)))</f>
        <v/>
      </c>
      <c r="U108" s="15" t="str">
        <f aca="false">IF(U48="","",IF(U71=D48,0,T108-(G48-U48)))</f>
        <v/>
      </c>
      <c r="V108" s="15" t="str">
        <f aca="false">IF(V48="","",IF(V71=D48,0,U108-(G48-V48)))</f>
        <v/>
      </c>
      <c r="W108" s="15" t="str">
        <f aca="false">IF(W48="","",IF(W71=D48,0,V108-(G48-W48)))</f>
        <v/>
      </c>
      <c r="X108" s="15" t="str">
        <f aca="false">IF(X48="","",IF(X71=D48,0,W108-(G48-X48)))</f>
        <v/>
      </c>
      <c r="Y108" s="15" t="str">
        <f aca="false">IF(Y48="","",IF(Y71=D48,0,X108-(G48-Y48)))</f>
        <v/>
      </c>
      <c r="Z108" s="15" t="str">
        <f aca="false">IF(Z48="","",IF(Z71=D48,0,Y108-(G48-Z48)))</f>
        <v/>
      </c>
      <c r="AA108" s="15" t="str">
        <f aca="false">IF(AA48="","",IF(AA71=D48,0,Z108-(G48-AA48)))</f>
        <v/>
      </c>
      <c r="AB108" s="15" t="str">
        <f aca="false">IF(AB48="","",IF(AB71=D48,0,AA108-(G48-AB48)))</f>
        <v/>
      </c>
      <c r="AC108" s="15" t="str">
        <f aca="false">IF(AC48="","",IF(AC71=D48,0,AB108-(G48-AC48)))</f>
        <v/>
      </c>
      <c r="AD108" s="15" t="str">
        <f aca="false">IF(AD48="","",IF(AD71=D48,0,AC108-(G48-AD48)))</f>
        <v/>
      </c>
      <c r="AE108" s="15" t="str">
        <f aca="false">IF(AE48="","",IF(AE71=D48,0,AD108-(G48-AE48)))</f>
        <v/>
      </c>
      <c r="AF108" s="15" t="str">
        <f aca="false">IF(AF48="","",IF(AF71=D48,0,AE108-(G48-AF48)))</f>
        <v/>
      </c>
      <c r="AG108" s="15" t="str">
        <f aca="false">IF(AG48="","",IF(AG71=D48,0,AF108-(G48-AG48)))</f>
        <v/>
      </c>
      <c r="AH108" s="15" t="str">
        <f aca="false">IF(AH48="","",IF(AH71=D48,0,AG108-(G48-AH48)))</f>
        <v/>
      </c>
      <c r="AI108" s="15" t="str">
        <f aca="false">IF(AI48="","",IF(AI71=D48,0,AH108-(G48-AI48)))</f>
        <v/>
      </c>
      <c r="AJ108" s="15" t="str">
        <f aca="false">IF(AJ48="","",IF(AJ71=D48,0,AI108-(G48-AJ48)))</f>
        <v/>
      </c>
      <c r="AK108" s="15" t="str">
        <f aca="false">IF(AK48="","",IF(AK71=D48,0,AJ108-(G48-AK48)))</f>
        <v/>
      </c>
      <c r="AL108" s="15" t="str">
        <f aca="false">IF(AL48="","",IF(AL71=D48,0,AK108-(G48-AL48)))</f>
        <v/>
      </c>
      <c r="AM108" s="15" t="str">
        <f aca="false">IF(AM48="","",IF(AM71=D48,0,AL108-(G48-AM48)))</f>
        <v/>
      </c>
      <c r="AN108" s="15" t="str">
        <f aca="false">IF(AN48="","",IF(AN71=D48,0,AM108-(G48-AN48)))</f>
        <v/>
      </c>
      <c r="AO108" s="15" t="str">
        <f aca="false">IF(AO48="","",IF(AO71=D48,0,AN108-(G48-AO48)))</f>
        <v/>
      </c>
      <c r="AP108" s="15" t="str">
        <f aca="false">IF(AP48="","",IF(AP71=D48,0,AO108-(G48-AP48)))</f>
        <v/>
      </c>
      <c r="AQ108" s="15" t="str">
        <f aca="false">IF(AQ48="","",IF(AQ71=D48,0,AP108-(G48-AQ48)))</f>
        <v/>
      </c>
      <c r="AR108" s="15" t="str">
        <f aca="false">IF(AR48="","",IF(AR71=D48,0,AQ108-(G48-AR48)))</f>
        <v/>
      </c>
      <c r="AS108" s="15" t="str">
        <f aca="false">IF(AS48="","",IF(AS71=D48,0,AR108-(G48-AS48)))</f>
        <v/>
      </c>
      <c r="AT108" s="15" t="str">
        <f aca="false">IF(AT48="","",IF(AT71=D48,0,AS108-(G48-AT48)))</f>
        <v/>
      </c>
      <c r="AU108" s="15" t="str">
        <f aca="false">IF(AU48="","",IF(AU71=D48,0,AT108-(G48-AU48)))</f>
        <v/>
      </c>
      <c r="AV108" s="15" t="str">
        <f aca="false">IF(AV48="","",IF(AV71=D48,0,AU108-(G48-AV48)))</f>
        <v/>
      </c>
      <c r="AW108" s="15" t="str">
        <f aca="false">IF(AW48="","",IF(AW71=D48,0,AV108-(G48-AW48)))</f>
        <v/>
      </c>
      <c r="AX108" s="15" t="str">
        <f aca="false">IF(AX48="","",IF(AX71=D48,0,AW108-(G48-AX48)))</f>
        <v/>
      </c>
      <c r="AY108" s="15" t="str">
        <f aca="false">IF(AY48="","",IF(AY71=D48,0,AX108-(G48-AY48)))</f>
        <v/>
      </c>
      <c r="AZ108" s="15" t="str">
        <f aca="false">IF(AZ48="","",IF(AZ71=D48,0,AY108-(G48-AZ48)))</f>
        <v/>
      </c>
      <c r="BA108" s="15" t="str">
        <f aca="false">IF(BA48="","",IF(BA71=D48,0,AZ108-(G48-BA48)))</f>
        <v/>
      </c>
      <c r="BB108" s="15" t="str">
        <f aca="false">IF(BB48="","",IF(BB71=D48,0,BA108-(G48-BB48)))</f>
        <v/>
      </c>
      <c r="BC108" s="15" t="str">
        <f aca="false">IF(BC48="","",IF(BC71=D48,0,BB108-(G48-BC48)))</f>
        <v/>
      </c>
      <c r="BD108" s="15" t="str">
        <f aca="false">IF(BD48="","",IF(BD71=D48,0,BC108-(G48-BD48)))</f>
        <v/>
      </c>
      <c r="BE108" s="15" t="str">
        <f aca="false">IF(BE48="","",IF(BE71=D48,0,BD108-(G48-BE48)))</f>
        <v/>
      </c>
      <c r="BF108" s="15" t="str">
        <f aca="false">IF(BF48="","",IF(BF71=D48,0,BE108-(G48-BF48)))</f>
        <v/>
      </c>
      <c r="BG108" s="15" t="str">
        <f aca="false">IF(BG48="","",IF(BG71=D48,0,BF108-(G48-BG48)))</f>
        <v/>
      </c>
      <c r="BH108" s="15" t="str">
        <f aca="false">IF(BH48="","",IF(BH71=D48,0,BG108-(G48-BH48)))</f>
        <v/>
      </c>
      <c r="BI108" s="15" t="str">
        <f aca="false">IF(BI48="","",IF(BI71=D48,0,BH108-(G48-BI48)))</f>
        <v/>
      </c>
      <c r="BJ108" s="15" t="str">
        <f aca="false">IF(BJ48="","",IF(BJ71=D48,0,BI108-(G48-BJ48)))</f>
        <v/>
      </c>
      <c r="BK108" s="15" t="str">
        <f aca="false">IF(BK48="","",IF(BK71=D48,0,BJ108-(G48-BK48)))</f>
        <v/>
      </c>
      <c r="BL108" s="15" t="str">
        <f aca="false">IF(BL48="","",IF(BL71=D48,0,BK108-(G48-BL48)))</f>
        <v/>
      </c>
      <c r="BM108" s="15" t="str">
        <f aca="false">IF(BM48="","",IF(BM71=D48,0,BL108-(G48-BM48)))</f>
        <v/>
      </c>
      <c r="BN108" s="15" t="str">
        <f aca="false">IF(BN48="","",IF(BN71=D48,0,BM108-(G48-BN48)))</f>
        <v/>
      </c>
      <c r="BO108" s="15" t="str">
        <f aca="false">IF(BO48="","",IF(BO71=D48,0,BN108-(G48-BO48)))</f>
        <v/>
      </c>
      <c r="BP108" s="15" t="str">
        <f aca="false">IF(BP48="","",IF(BP71=D48,0,BO108-(G48-BP48)))</f>
        <v/>
      </c>
    </row>
    <row r="109" customFormat="false" ht="15" hidden="false" customHeight="false" outlineLevel="0" collapsed="false">
      <c r="A109" s="29" t="str">
        <f aca="false">A49</f>
        <v/>
      </c>
      <c r="B109" s="29" t="str">
        <f aca="false">B49</f>
        <v/>
      </c>
      <c r="C109" s="29" t="str">
        <f aca="false">C49</f>
        <v/>
      </c>
      <c r="D109" s="16" t="str">
        <f aca="false">D49</f>
        <v/>
      </c>
      <c r="E109" s="17" t="str">
        <f aca="false">E49</f>
        <v/>
      </c>
      <c r="F109" s="15" t="str">
        <f aca="false">F49</f>
        <v/>
      </c>
      <c r="G109" s="15" t="str">
        <f aca="false">G49</f>
        <v/>
      </c>
      <c r="I109" s="15" t="str">
        <f aca="false">IF(I49="","",IF(I71=D49,0,F49-(G49-I49)))</f>
        <v/>
      </c>
      <c r="J109" s="15" t="str">
        <f aca="false">IF(J49="","",IF(J71=D49,0,I109-(G49-J49)))</f>
        <v/>
      </c>
      <c r="K109" s="15" t="str">
        <f aca="false">IF(K49="","",IF(K71=D49,0,J109-(G49-K49)))</f>
        <v/>
      </c>
      <c r="L109" s="15" t="str">
        <f aca="false">IF(L49="","",IF(L71=D49,0,K109-(G49-L49)))</f>
        <v/>
      </c>
      <c r="M109" s="15" t="str">
        <f aca="false">IF(M49="","",IF(M71=D49,0,L109-(G49-M49)))</f>
        <v/>
      </c>
      <c r="N109" s="15" t="str">
        <f aca="false">IF(N49="","",IF(N71=D49,0,M109-(G49-N49)))</f>
        <v/>
      </c>
      <c r="O109" s="15" t="str">
        <f aca="false">IF(O49="","",IF(O71=D49,0,N109-(G49-O49)))</f>
        <v/>
      </c>
      <c r="P109" s="15" t="str">
        <f aca="false">IF(P49="","",IF(P71=D49,0,O109-(G49-P49)))</f>
        <v/>
      </c>
      <c r="Q109" s="15" t="str">
        <f aca="false">IF(Q49="","",IF(Q71=D49,0,P109-(G49-Q49)))</f>
        <v/>
      </c>
      <c r="R109" s="15" t="str">
        <f aca="false">IF(R49="","",IF(R71=D49,0,Q109-(G49-R49)))</f>
        <v/>
      </c>
      <c r="S109" s="15" t="str">
        <f aca="false">IF(S49="","",IF(S71=D49,0,R109-(G49-S49)))</f>
        <v/>
      </c>
      <c r="T109" s="15" t="str">
        <f aca="false">IF(T49="","",IF(T71=D49,0,S109-(G49-T49)))</f>
        <v/>
      </c>
      <c r="U109" s="15" t="str">
        <f aca="false">IF(U49="","",IF(U71=D49,0,T109-(G49-U49)))</f>
        <v/>
      </c>
      <c r="V109" s="15" t="str">
        <f aca="false">IF(V49="","",IF(V71=D49,0,U109-(G49-V49)))</f>
        <v/>
      </c>
      <c r="W109" s="15" t="str">
        <f aca="false">IF(W49="","",IF(W71=D49,0,V109-(G49-W49)))</f>
        <v/>
      </c>
      <c r="X109" s="15" t="str">
        <f aca="false">IF(X49="","",IF(X71=D49,0,W109-(G49-X49)))</f>
        <v/>
      </c>
      <c r="Y109" s="15" t="str">
        <f aca="false">IF(Y49="","",IF(Y71=D49,0,X109-(G49-Y49)))</f>
        <v/>
      </c>
      <c r="Z109" s="15" t="str">
        <f aca="false">IF(Z49="","",IF(Z71=D49,0,Y109-(G49-Z49)))</f>
        <v/>
      </c>
      <c r="AA109" s="15" t="str">
        <f aca="false">IF(AA49="","",IF(AA71=D49,0,Z109-(G49-AA49)))</f>
        <v/>
      </c>
      <c r="AB109" s="15" t="str">
        <f aca="false">IF(AB49="","",IF(AB71=D49,0,AA109-(G49-AB49)))</f>
        <v/>
      </c>
      <c r="AC109" s="15" t="str">
        <f aca="false">IF(AC49="","",IF(AC71=D49,0,AB109-(G49-AC49)))</f>
        <v/>
      </c>
      <c r="AD109" s="15" t="str">
        <f aca="false">IF(AD49="","",IF(AD71=D49,0,AC109-(G49-AD49)))</f>
        <v/>
      </c>
      <c r="AE109" s="15" t="str">
        <f aca="false">IF(AE49="","",IF(AE71=D49,0,AD109-(G49-AE49)))</f>
        <v/>
      </c>
      <c r="AF109" s="15" t="str">
        <f aca="false">IF(AF49="","",IF(AF71=D49,0,AE109-(G49-AF49)))</f>
        <v/>
      </c>
      <c r="AG109" s="15" t="str">
        <f aca="false">IF(AG49="","",IF(AG71=D49,0,AF109-(G49-AG49)))</f>
        <v/>
      </c>
      <c r="AH109" s="15" t="str">
        <f aca="false">IF(AH49="","",IF(AH71=D49,0,AG109-(G49-AH49)))</f>
        <v/>
      </c>
      <c r="AI109" s="15" t="str">
        <f aca="false">IF(AI49="","",IF(AI71=D49,0,AH109-(G49-AI49)))</f>
        <v/>
      </c>
      <c r="AJ109" s="15" t="str">
        <f aca="false">IF(AJ49="","",IF(AJ71=D49,0,AI109-(G49-AJ49)))</f>
        <v/>
      </c>
      <c r="AK109" s="15" t="str">
        <f aca="false">IF(AK49="","",IF(AK71=D49,0,AJ109-(G49-AK49)))</f>
        <v/>
      </c>
      <c r="AL109" s="15" t="str">
        <f aca="false">IF(AL49="","",IF(AL71=D49,0,AK109-(G49-AL49)))</f>
        <v/>
      </c>
      <c r="AM109" s="15" t="str">
        <f aca="false">IF(AM49="","",IF(AM71=D49,0,AL109-(G49-AM49)))</f>
        <v/>
      </c>
      <c r="AN109" s="15" t="str">
        <f aca="false">IF(AN49="","",IF(AN71=D49,0,AM109-(G49-AN49)))</f>
        <v/>
      </c>
      <c r="AO109" s="15" t="str">
        <f aca="false">IF(AO49="","",IF(AO71=D49,0,AN109-(G49-AO49)))</f>
        <v/>
      </c>
      <c r="AP109" s="15" t="str">
        <f aca="false">IF(AP49="","",IF(AP71=D49,0,AO109-(G49-AP49)))</f>
        <v/>
      </c>
      <c r="AQ109" s="15" t="str">
        <f aca="false">IF(AQ49="","",IF(AQ71=D49,0,AP109-(G49-AQ49)))</f>
        <v/>
      </c>
      <c r="AR109" s="15" t="str">
        <f aca="false">IF(AR49="","",IF(AR71=D49,0,AQ109-(G49-AR49)))</f>
        <v/>
      </c>
      <c r="AS109" s="15" t="str">
        <f aca="false">IF(AS49="","",IF(AS71=D49,0,AR109-(G49-AS49)))</f>
        <v/>
      </c>
      <c r="AT109" s="15" t="str">
        <f aca="false">IF(AT49="","",IF(AT71=D49,0,AS109-(G49-AT49)))</f>
        <v/>
      </c>
      <c r="AU109" s="15" t="str">
        <f aca="false">IF(AU49="","",IF(AU71=D49,0,AT109-(G49-AU49)))</f>
        <v/>
      </c>
      <c r="AV109" s="15" t="str">
        <f aca="false">IF(AV49="","",IF(AV71=D49,0,AU109-(G49-AV49)))</f>
        <v/>
      </c>
      <c r="AW109" s="15" t="str">
        <f aca="false">IF(AW49="","",IF(AW71=D49,0,AV109-(G49-AW49)))</f>
        <v/>
      </c>
      <c r="AX109" s="15" t="str">
        <f aca="false">IF(AX49="","",IF(AX71=D49,0,AW109-(G49-AX49)))</f>
        <v/>
      </c>
      <c r="AY109" s="15" t="str">
        <f aca="false">IF(AY49="","",IF(AY71=D49,0,AX109-(G49-AY49)))</f>
        <v/>
      </c>
      <c r="AZ109" s="15" t="str">
        <f aca="false">IF(AZ49="","",IF(AZ71=D49,0,AY109-(G49-AZ49)))</f>
        <v/>
      </c>
      <c r="BA109" s="15" t="str">
        <f aca="false">IF(BA49="","",IF(BA71=D49,0,AZ109-(G49-BA49)))</f>
        <v/>
      </c>
      <c r="BB109" s="15" t="str">
        <f aca="false">IF(BB49="","",IF(BB71=D49,0,BA109-(G49-BB49)))</f>
        <v/>
      </c>
      <c r="BC109" s="15" t="str">
        <f aca="false">IF(BC49="","",IF(BC71=D49,0,BB109-(G49-BC49)))</f>
        <v/>
      </c>
      <c r="BD109" s="15" t="str">
        <f aca="false">IF(BD49="","",IF(BD71=D49,0,BC109-(G49-BD49)))</f>
        <v/>
      </c>
      <c r="BE109" s="15" t="str">
        <f aca="false">IF(BE49="","",IF(BE71=D49,0,BD109-(G49-BE49)))</f>
        <v/>
      </c>
      <c r="BF109" s="15" t="str">
        <f aca="false">IF(BF49="","",IF(BF71=D49,0,BE109-(G49-BF49)))</f>
        <v/>
      </c>
      <c r="BG109" s="15" t="str">
        <f aca="false">IF(BG49="","",IF(BG71=D49,0,BF109-(G49-BG49)))</f>
        <v/>
      </c>
      <c r="BH109" s="15" t="str">
        <f aca="false">IF(BH49="","",IF(BH71=D49,0,BG109-(G49-BH49)))</f>
        <v/>
      </c>
      <c r="BI109" s="15" t="str">
        <f aca="false">IF(BI49="","",IF(BI71=D49,0,BH109-(G49-BI49)))</f>
        <v/>
      </c>
      <c r="BJ109" s="15" t="str">
        <f aca="false">IF(BJ49="","",IF(BJ71=D49,0,BI109-(G49-BJ49)))</f>
        <v/>
      </c>
      <c r="BK109" s="15" t="str">
        <f aca="false">IF(BK49="","",IF(BK71=D49,0,BJ109-(G49-BK49)))</f>
        <v/>
      </c>
      <c r="BL109" s="15" t="str">
        <f aca="false">IF(BL49="","",IF(BL71=D49,0,BK109-(G49-BL49)))</f>
        <v/>
      </c>
      <c r="BM109" s="15" t="str">
        <f aca="false">IF(BM49="","",IF(BM71=D49,0,BL109-(G49-BM49)))</f>
        <v/>
      </c>
      <c r="BN109" s="15" t="str">
        <f aca="false">IF(BN49="","",IF(BN71=D49,0,BM109-(G49-BN49)))</f>
        <v/>
      </c>
      <c r="BO109" s="15" t="str">
        <f aca="false">IF(BO49="","",IF(BO71=D49,0,BN109-(G49-BO49)))</f>
        <v/>
      </c>
      <c r="BP109" s="15" t="str">
        <f aca="false">IF(BP49="","",IF(BP71=D49,0,BO109-(G49-BP49)))</f>
        <v/>
      </c>
    </row>
    <row r="110" customFormat="false" ht="15" hidden="false" customHeight="false" outlineLevel="0" collapsed="false">
      <c r="A110" s="29" t="str">
        <f aca="false">A50</f>
        <v/>
      </c>
      <c r="B110" s="29" t="str">
        <f aca="false">B50</f>
        <v/>
      </c>
      <c r="C110" s="29" t="str">
        <f aca="false">C50</f>
        <v/>
      </c>
      <c r="D110" s="16" t="str">
        <f aca="false">D50</f>
        <v/>
      </c>
      <c r="E110" s="17" t="str">
        <f aca="false">E50</f>
        <v/>
      </c>
      <c r="F110" s="15" t="str">
        <f aca="false">F50</f>
        <v/>
      </c>
      <c r="G110" s="15" t="str">
        <f aca="false">G50</f>
        <v/>
      </c>
      <c r="I110" s="15" t="str">
        <f aca="false">IF(I50="","",IF(I71=D50,0,F50-(G50-I50)))</f>
        <v/>
      </c>
      <c r="J110" s="15" t="str">
        <f aca="false">IF(J50="","",IF(J71=D50,0,I110-(G50-J50)))</f>
        <v/>
      </c>
      <c r="K110" s="15" t="str">
        <f aca="false">IF(K50="","",IF(K71=D50,0,J110-(G50-K50)))</f>
        <v/>
      </c>
      <c r="L110" s="15" t="str">
        <f aca="false">IF(L50="","",IF(L71=D50,0,K110-(G50-L50)))</f>
        <v/>
      </c>
      <c r="M110" s="15" t="str">
        <f aca="false">IF(M50="","",IF(M71=D50,0,L110-(G50-M50)))</f>
        <v/>
      </c>
      <c r="N110" s="15" t="str">
        <f aca="false">IF(N50="","",IF(N71=D50,0,M110-(G50-N50)))</f>
        <v/>
      </c>
      <c r="O110" s="15" t="str">
        <f aca="false">IF(O50="","",IF(O71=D50,0,N110-(G50-O50)))</f>
        <v/>
      </c>
      <c r="P110" s="15" t="str">
        <f aca="false">IF(P50="","",IF(P71=D50,0,O110-(G50-P50)))</f>
        <v/>
      </c>
      <c r="Q110" s="15" t="str">
        <f aca="false">IF(Q50="","",IF(Q71=D50,0,P110-(G50-Q50)))</f>
        <v/>
      </c>
      <c r="R110" s="15" t="str">
        <f aca="false">IF(R50="","",IF(R71=D50,0,Q110-(G50-R50)))</f>
        <v/>
      </c>
      <c r="S110" s="15" t="str">
        <f aca="false">IF(S50="","",IF(S71=D50,0,R110-(G50-S50)))</f>
        <v/>
      </c>
      <c r="T110" s="15" t="str">
        <f aca="false">IF(T50="","",IF(T71=D50,0,S110-(G50-T50)))</f>
        <v/>
      </c>
      <c r="U110" s="15" t="str">
        <f aca="false">IF(U50="","",IF(U71=D50,0,T110-(G50-U50)))</f>
        <v/>
      </c>
      <c r="V110" s="15" t="str">
        <f aca="false">IF(V50="","",IF(V71=D50,0,U110-(G50-V50)))</f>
        <v/>
      </c>
      <c r="W110" s="15" t="str">
        <f aca="false">IF(W50="","",IF(W71=D50,0,V110-(G50-W50)))</f>
        <v/>
      </c>
      <c r="X110" s="15" t="str">
        <f aca="false">IF(X50="","",IF(X71=D50,0,W110-(G50-X50)))</f>
        <v/>
      </c>
      <c r="Y110" s="15" t="str">
        <f aca="false">IF(Y50="","",IF(Y71=D50,0,X110-(G50-Y50)))</f>
        <v/>
      </c>
      <c r="Z110" s="15" t="str">
        <f aca="false">IF(Z50="","",IF(Z71=D50,0,Y110-(G50-Z50)))</f>
        <v/>
      </c>
      <c r="AA110" s="15" t="str">
        <f aca="false">IF(AA50="","",IF(AA71=D50,0,Z110-(G50-AA50)))</f>
        <v/>
      </c>
      <c r="AB110" s="15" t="str">
        <f aca="false">IF(AB50="","",IF(AB71=D50,0,AA110-(G50-AB50)))</f>
        <v/>
      </c>
      <c r="AC110" s="15" t="str">
        <f aca="false">IF(AC50="","",IF(AC71=D50,0,AB110-(G50-AC50)))</f>
        <v/>
      </c>
      <c r="AD110" s="15" t="str">
        <f aca="false">IF(AD50="","",IF(AD71=D50,0,AC110-(G50-AD50)))</f>
        <v/>
      </c>
      <c r="AE110" s="15" t="str">
        <f aca="false">IF(AE50="","",IF(AE71=D50,0,AD110-(G50-AE50)))</f>
        <v/>
      </c>
      <c r="AF110" s="15" t="str">
        <f aca="false">IF(AF50="","",IF(AF71=D50,0,AE110-(G50-AF50)))</f>
        <v/>
      </c>
      <c r="AG110" s="15" t="str">
        <f aca="false">IF(AG50="","",IF(AG71=D50,0,AF110-(G50-AG50)))</f>
        <v/>
      </c>
      <c r="AH110" s="15" t="str">
        <f aca="false">IF(AH50="","",IF(AH71=D50,0,AG110-(G50-AH50)))</f>
        <v/>
      </c>
      <c r="AI110" s="15" t="str">
        <f aca="false">IF(AI50="","",IF(AI71=D50,0,AH110-(G50-AI50)))</f>
        <v/>
      </c>
      <c r="AJ110" s="15" t="str">
        <f aca="false">IF(AJ50="","",IF(AJ71=D50,0,AI110-(G50-AJ50)))</f>
        <v/>
      </c>
      <c r="AK110" s="15" t="str">
        <f aca="false">IF(AK50="","",IF(AK71=D50,0,AJ110-(G50-AK50)))</f>
        <v/>
      </c>
      <c r="AL110" s="15" t="str">
        <f aca="false">IF(AL50="","",IF(AL71=D50,0,AK110-(G50-AL50)))</f>
        <v/>
      </c>
      <c r="AM110" s="15" t="str">
        <f aca="false">IF(AM50="","",IF(AM71=D50,0,AL110-(G50-AM50)))</f>
        <v/>
      </c>
      <c r="AN110" s="15" t="str">
        <f aca="false">IF(AN50="","",IF(AN71=D50,0,AM110-(G50-AN50)))</f>
        <v/>
      </c>
      <c r="AO110" s="15" t="str">
        <f aca="false">IF(AO50="","",IF(AO71=D50,0,AN110-(G50-AO50)))</f>
        <v/>
      </c>
      <c r="AP110" s="15" t="str">
        <f aca="false">IF(AP50="","",IF(AP71=D50,0,AO110-(G50-AP50)))</f>
        <v/>
      </c>
      <c r="AQ110" s="15" t="str">
        <f aca="false">IF(AQ50="","",IF(AQ71=D50,0,AP110-(G50-AQ50)))</f>
        <v/>
      </c>
      <c r="AR110" s="15" t="str">
        <f aca="false">IF(AR50="","",IF(AR71=D50,0,AQ110-(G50-AR50)))</f>
        <v/>
      </c>
      <c r="AS110" s="15" t="str">
        <f aca="false">IF(AS50="","",IF(AS71=D50,0,AR110-(G50-AS50)))</f>
        <v/>
      </c>
      <c r="AT110" s="15" t="str">
        <f aca="false">IF(AT50="","",IF(AT71=D50,0,AS110-(G50-AT50)))</f>
        <v/>
      </c>
      <c r="AU110" s="15" t="str">
        <f aca="false">IF(AU50="","",IF(AU71=D50,0,AT110-(G50-AU50)))</f>
        <v/>
      </c>
      <c r="AV110" s="15" t="str">
        <f aca="false">IF(AV50="","",IF(AV71=D50,0,AU110-(G50-AV50)))</f>
        <v/>
      </c>
      <c r="AW110" s="15" t="str">
        <f aca="false">IF(AW50="","",IF(AW71=D50,0,AV110-(G50-AW50)))</f>
        <v/>
      </c>
      <c r="AX110" s="15" t="str">
        <f aca="false">IF(AX50="","",IF(AX71=D50,0,AW110-(G50-AX50)))</f>
        <v/>
      </c>
      <c r="AY110" s="15" t="str">
        <f aca="false">IF(AY50="","",IF(AY71=D50,0,AX110-(G50-AY50)))</f>
        <v/>
      </c>
      <c r="AZ110" s="15" t="str">
        <f aca="false">IF(AZ50="","",IF(AZ71=D50,0,AY110-(G50-AZ50)))</f>
        <v/>
      </c>
      <c r="BA110" s="15" t="str">
        <f aca="false">IF(BA50="","",IF(BA71=D50,0,AZ110-(G50-BA50)))</f>
        <v/>
      </c>
      <c r="BB110" s="15" t="str">
        <f aca="false">IF(BB50="","",IF(BB71=D50,0,BA110-(G50-BB50)))</f>
        <v/>
      </c>
      <c r="BC110" s="15" t="str">
        <f aca="false">IF(BC50="","",IF(BC71=D50,0,BB110-(G50-BC50)))</f>
        <v/>
      </c>
      <c r="BD110" s="15" t="str">
        <f aca="false">IF(BD50="","",IF(BD71=D50,0,BC110-(G50-BD50)))</f>
        <v/>
      </c>
      <c r="BE110" s="15" t="str">
        <f aca="false">IF(BE50="","",IF(BE71=D50,0,BD110-(G50-BE50)))</f>
        <v/>
      </c>
      <c r="BF110" s="15" t="str">
        <f aca="false">IF(BF50="","",IF(BF71=D50,0,BE110-(G50-BF50)))</f>
        <v/>
      </c>
      <c r="BG110" s="15" t="str">
        <f aca="false">IF(BG50="","",IF(BG71=D50,0,BF110-(G50-BG50)))</f>
        <v/>
      </c>
      <c r="BH110" s="15" t="str">
        <f aca="false">IF(BH50="","",IF(BH71=D50,0,BG110-(G50-BH50)))</f>
        <v/>
      </c>
      <c r="BI110" s="15" t="str">
        <f aca="false">IF(BI50="","",IF(BI71=D50,0,BH110-(G50-BI50)))</f>
        <v/>
      </c>
      <c r="BJ110" s="15" t="str">
        <f aca="false">IF(BJ50="","",IF(BJ71=D50,0,BI110-(G50-BJ50)))</f>
        <v/>
      </c>
      <c r="BK110" s="15" t="str">
        <f aca="false">IF(BK50="","",IF(BK71=D50,0,BJ110-(G50-BK50)))</f>
        <v/>
      </c>
      <c r="BL110" s="15" t="str">
        <f aca="false">IF(BL50="","",IF(BL71=D50,0,BK110-(G50-BL50)))</f>
        <v/>
      </c>
      <c r="BM110" s="15" t="str">
        <f aca="false">IF(BM50="","",IF(BM71=D50,0,BL110-(G50-BM50)))</f>
        <v/>
      </c>
      <c r="BN110" s="15" t="str">
        <f aca="false">IF(BN50="","",IF(BN71=D50,0,BM110-(G50-BN50)))</f>
        <v/>
      </c>
      <c r="BO110" s="15" t="str">
        <f aca="false">IF(BO50="","",IF(BO71=D50,0,BN110-(G50-BO50)))</f>
        <v/>
      </c>
      <c r="BP110" s="15" t="str">
        <f aca="false">IF(BP50="","",IF(BP71=D50,0,BO110-(G50-BP50)))</f>
        <v/>
      </c>
    </row>
    <row r="111" customFormat="false" ht="15" hidden="false" customHeight="false" outlineLevel="0" collapsed="false">
      <c r="A111" s="29" t="str">
        <f aca="false">A51</f>
        <v/>
      </c>
      <c r="B111" s="29" t="str">
        <f aca="false">B51</f>
        <v/>
      </c>
      <c r="C111" s="29" t="str">
        <f aca="false">C51</f>
        <v/>
      </c>
      <c r="D111" s="16" t="str">
        <f aca="false">D51</f>
        <v/>
      </c>
      <c r="E111" s="17" t="str">
        <f aca="false">E51</f>
        <v/>
      </c>
      <c r="F111" s="15" t="str">
        <f aca="false">F51</f>
        <v/>
      </c>
      <c r="G111" s="15" t="str">
        <f aca="false">G51</f>
        <v/>
      </c>
      <c r="I111" s="15" t="str">
        <f aca="false">IF(I51="","",IF(I71=D51,0,F51-(G51-I51)))</f>
        <v/>
      </c>
      <c r="J111" s="15" t="str">
        <f aca="false">IF(J51="","",IF(J71=D51,0,I111-(G51-J51)))</f>
        <v/>
      </c>
      <c r="K111" s="15" t="str">
        <f aca="false">IF(K51="","",IF(K71=D51,0,J111-(G51-K51)))</f>
        <v/>
      </c>
      <c r="L111" s="15" t="str">
        <f aca="false">IF(L51="","",IF(L71=D51,0,K111-(G51-L51)))</f>
        <v/>
      </c>
      <c r="M111" s="15" t="str">
        <f aca="false">IF(M51="","",IF(M71=D51,0,L111-(G51-M51)))</f>
        <v/>
      </c>
      <c r="N111" s="15" t="str">
        <f aca="false">IF(N51="","",IF(N71=D51,0,M111-(G51-N51)))</f>
        <v/>
      </c>
      <c r="O111" s="15" t="str">
        <f aca="false">IF(O51="","",IF(O71=D51,0,N111-(G51-O51)))</f>
        <v/>
      </c>
      <c r="P111" s="15" t="str">
        <f aca="false">IF(P51="","",IF(P71=D51,0,O111-(G51-P51)))</f>
        <v/>
      </c>
      <c r="Q111" s="15" t="str">
        <f aca="false">IF(Q51="","",IF(Q71=D51,0,P111-(G51-Q51)))</f>
        <v/>
      </c>
      <c r="R111" s="15" t="str">
        <f aca="false">IF(R51="","",IF(R71=D51,0,Q111-(G51-R51)))</f>
        <v/>
      </c>
      <c r="S111" s="15" t="str">
        <f aca="false">IF(S51="","",IF(S71=D51,0,R111-(G51-S51)))</f>
        <v/>
      </c>
      <c r="T111" s="15" t="str">
        <f aca="false">IF(T51="","",IF(T71=D51,0,S111-(G51-T51)))</f>
        <v/>
      </c>
      <c r="U111" s="15" t="str">
        <f aca="false">IF(U51="","",IF(U71=D51,0,T111-(G51-U51)))</f>
        <v/>
      </c>
      <c r="V111" s="15" t="str">
        <f aca="false">IF(V51="","",IF(V71=D51,0,U111-(G51-V51)))</f>
        <v/>
      </c>
      <c r="W111" s="15" t="str">
        <f aca="false">IF(W51="","",IF(W71=D51,0,V111-(G51-W51)))</f>
        <v/>
      </c>
      <c r="X111" s="15" t="str">
        <f aca="false">IF(X51="","",IF(X71=D51,0,W111-(G51-X51)))</f>
        <v/>
      </c>
      <c r="Y111" s="15" t="str">
        <f aca="false">IF(Y51="","",IF(Y71=D51,0,X111-(G51-Y51)))</f>
        <v/>
      </c>
      <c r="Z111" s="15" t="str">
        <f aca="false">IF(Z51="","",IF(Z71=D51,0,Y111-(G51-Z51)))</f>
        <v/>
      </c>
      <c r="AA111" s="15" t="str">
        <f aca="false">IF(AA51="","",IF(AA71=D51,0,Z111-(G51-AA51)))</f>
        <v/>
      </c>
      <c r="AB111" s="15" t="str">
        <f aca="false">IF(AB51="","",IF(AB71=D51,0,AA111-(G51-AB51)))</f>
        <v/>
      </c>
      <c r="AC111" s="15" t="str">
        <f aca="false">IF(AC51="","",IF(AC71=D51,0,AB111-(G51-AC51)))</f>
        <v/>
      </c>
      <c r="AD111" s="15" t="str">
        <f aca="false">IF(AD51="","",IF(AD71=D51,0,AC111-(G51-AD51)))</f>
        <v/>
      </c>
      <c r="AE111" s="15" t="str">
        <f aca="false">IF(AE51="","",IF(AE71=D51,0,AD111-(G51-AE51)))</f>
        <v/>
      </c>
      <c r="AF111" s="15" t="str">
        <f aca="false">IF(AF51="","",IF(AF71=D51,0,AE111-(G51-AF51)))</f>
        <v/>
      </c>
      <c r="AG111" s="15" t="str">
        <f aca="false">IF(AG51="","",IF(AG71=D51,0,AF111-(G51-AG51)))</f>
        <v/>
      </c>
      <c r="AH111" s="15" t="str">
        <f aca="false">IF(AH51="","",IF(AH71=D51,0,AG111-(G51-AH51)))</f>
        <v/>
      </c>
      <c r="AI111" s="15" t="str">
        <f aca="false">IF(AI51="","",IF(AI71=D51,0,AH111-(G51-AI51)))</f>
        <v/>
      </c>
      <c r="AJ111" s="15" t="str">
        <f aca="false">IF(AJ51="","",IF(AJ71=D51,0,AI111-(G51-AJ51)))</f>
        <v/>
      </c>
      <c r="AK111" s="15" t="str">
        <f aca="false">IF(AK51="","",IF(AK71=D51,0,AJ111-(G51-AK51)))</f>
        <v/>
      </c>
      <c r="AL111" s="15" t="str">
        <f aca="false">IF(AL51="","",IF(AL71=D51,0,AK111-(G51-AL51)))</f>
        <v/>
      </c>
      <c r="AM111" s="15" t="str">
        <f aca="false">IF(AM51="","",IF(AM71=D51,0,AL111-(G51-AM51)))</f>
        <v/>
      </c>
      <c r="AN111" s="15" t="str">
        <f aca="false">IF(AN51="","",IF(AN71=D51,0,AM111-(G51-AN51)))</f>
        <v/>
      </c>
      <c r="AO111" s="15" t="str">
        <f aca="false">IF(AO51="","",IF(AO71=D51,0,AN111-(G51-AO51)))</f>
        <v/>
      </c>
      <c r="AP111" s="15" t="str">
        <f aca="false">IF(AP51="","",IF(AP71=D51,0,AO111-(G51-AP51)))</f>
        <v/>
      </c>
      <c r="AQ111" s="15" t="str">
        <f aca="false">IF(AQ51="","",IF(AQ71=D51,0,AP111-(G51-AQ51)))</f>
        <v/>
      </c>
      <c r="AR111" s="15" t="str">
        <f aca="false">IF(AR51="","",IF(AR71=D51,0,AQ111-(G51-AR51)))</f>
        <v/>
      </c>
      <c r="AS111" s="15" t="str">
        <f aca="false">IF(AS51="","",IF(AS71=D51,0,AR111-(G51-AS51)))</f>
        <v/>
      </c>
      <c r="AT111" s="15" t="str">
        <f aca="false">IF(AT51="","",IF(AT71=D51,0,AS111-(G51-AT51)))</f>
        <v/>
      </c>
      <c r="AU111" s="15" t="str">
        <f aca="false">IF(AU51="","",IF(AU71=D51,0,AT111-(G51-AU51)))</f>
        <v/>
      </c>
      <c r="AV111" s="15" t="str">
        <f aca="false">IF(AV51="","",IF(AV71=D51,0,AU111-(G51-AV51)))</f>
        <v/>
      </c>
      <c r="AW111" s="15" t="str">
        <f aca="false">IF(AW51="","",IF(AW71=D51,0,AV111-(G51-AW51)))</f>
        <v/>
      </c>
      <c r="AX111" s="15" t="str">
        <f aca="false">IF(AX51="","",IF(AX71=D51,0,AW111-(G51-AX51)))</f>
        <v/>
      </c>
      <c r="AY111" s="15" t="str">
        <f aca="false">IF(AY51="","",IF(AY71=D51,0,AX111-(G51-AY51)))</f>
        <v/>
      </c>
      <c r="AZ111" s="15" t="str">
        <f aca="false">IF(AZ51="","",IF(AZ71=D51,0,AY111-(G51-AZ51)))</f>
        <v/>
      </c>
      <c r="BA111" s="15" t="str">
        <f aca="false">IF(BA51="","",IF(BA71=D51,0,AZ111-(G51-BA51)))</f>
        <v/>
      </c>
      <c r="BB111" s="15" t="str">
        <f aca="false">IF(BB51="","",IF(BB71=D51,0,BA111-(G51-BB51)))</f>
        <v/>
      </c>
      <c r="BC111" s="15" t="str">
        <f aca="false">IF(BC51="","",IF(BC71=D51,0,BB111-(G51-BC51)))</f>
        <v/>
      </c>
      <c r="BD111" s="15" t="str">
        <f aca="false">IF(BD51="","",IF(BD71=D51,0,BC111-(G51-BD51)))</f>
        <v/>
      </c>
      <c r="BE111" s="15" t="str">
        <f aca="false">IF(BE51="","",IF(BE71=D51,0,BD111-(G51-BE51)))</f>
        <v/>
      </c>
      <c r="BF111" s="15" t="str">
        <f aca="false">IF(BF51="","",IF(BF71=D51,0,BE111-(G51-BF51)))</f>
        <v/>
      </c>
      <c r="BG111" s="15" t="str">
        <f aca="false">IF(BG51="","",IF(BG71=D51,0,BF111-(G51-BG51)))</f>
        <v/>
      </c>
      <c r="BH111" s="15" t="str">
        <f aca="false">IF(BH51="","",IF(BH71=D51,0,BG111-(G51-BH51)))</f>
        <v/>
      </c>
      <c r="BI111" s="15" t="str">
        <f aca="false">IF(BI51="","",IF(BI71=D51,0,BH111-(G51-BI51)))</f>
        <v/>
      </c>
      <c r="BJ111" s="15" t="str">
        <f aca="false">IF(BJ51="","",IF(BJ71=D51,0,BI111-(G51-BJ51)))</f>
        <v/>
      </c>
      <c r="BK111" s="15" t="str">
        <f aca="false">IF(BK51="","",IF(BK71=D51,0,BJ111-(G51-BK51)))</f>
        <v/>
      </c>
      <c r="BL111" s="15" t="str">
        <f aca="false">IF(BL51="","",IF(BL71=D51,0,BK111-(G51-BL51)))</f>
        <v/>
      </c>
      <c r="BM111" s="15" t="str">
        <f aca="false">IF(BM51="","",IF(BM71=D51,0,BL111-(G51-BM51)))</f>
        <v/>
      </c>
      <c r="BN111" s="15" t="str">
        <f aca="false">IF(BN51="","",IF(BN71=D51,0,BM111-(G51-BN51)))</f>
        <v/>
      </c>
      <c r="BO111" s="15" t="str">
        <f aca="false">IF(BO51="","",IF(BO71=D51,0,BN111-(G51-BO51)))</f>
        <v/>
      </c>
      <c r="BP111" s="15" t="str">
        <f aca="false">IF(BP51="","",IF(BP71=D51,0,BO111-(G51-BP51)))</f>
        <v/>
      </c>
    </row>
    <row r="112" customFormat="false" ht="15" hidden="false" customHeight="false" outlineLevel="0" collapsed="false">
      <c r="A112" s="29" t="str">
        <f aca="false">A52</f>
        <v/>
      </c>
      <c r="B112" s="29" t="str">
        <f aca="false">B52</f>
        <v/>
      </c>
      <c r="C112" s="29" t="str">
        <f aca="false">C52</f>
        <v/>
      </c>
      <c r="D112" s="16" t="str">
        <f aca="false">D52</f>
        <v/>
      </c>
      <c r="E112" s="17" t="str">
        <f aca="false">E52</f>
        <v/>
      </c>
      <c r="F112" s="15" t="str">
        <f aca="false">F52</f>
        <v/>
      </c>
      <c r="G112" s="15" t="str">
        <f aca="false">G52</f>
        <v/>
      </c>
      <c r="I112" s="15" t="str">
        <f aca="false">IF(I52="","",IF(I71=D52,0,F52-(G52-I52)))</f>
        <v/>
      </c>
      <c r="J112" s="15" t="str">
        <f aca="false">IF(J52="","",IF(J71=D52,0,I112-(G52-J52)))</f>
        <v/>
      </c>
      <c r="K112" s="15" t="str">
        <f aca="false">IF(K52="","",IF(K71=D52,0,J112-(G52-K52)))</f>
        <v/>
      </c>
      <c r="L112" s="15" t="str">
        <f aca="false">IF(L52="","",IF(L71=D52,0,K112-(G52-L52)))</f>
        <v/>
      </c>
      <c r="M112" s="15" t="str">
        <f aca="false">IF(M52="","",IF(M71=D52,0,L112-(G52-M52)))</f>
        <v/>
      </c>
      <c r="N112" s="15" t="str">
        <f aca="false">IF(N52="","",IF(N71=D52,0,M112-(G52-N52)))</f>
        <v/>
      </c>
      <c r="O112" s="15" t="str">
        <f aca="false">IF(O52="","",IF(O71=D52,0,N112-(G52-O52)))</f>
        <v/>
      </c>
      <c r="P112" s="15" t="str">
        <f aca="false">IF(P52="","",IF(P71=D52,0,O112-(G52-P52)))</f>
        <v/>
      </c>
      <c r="Q112" s="15" t="str">
        <f aca="false">IF(Q52="","",IF(Q71=D52,0,P112-(G52-Q52)))</f>
        <v/>
      </c>
      <c r="R112" s="15" t="str">
        <f aca="false">IF(R52="","",IF(R71=D52,0,Q112-(G52-R52)))</f>
        <v/>
      </c>
      <c r="S112" s="15" t="str">
        <f aca="false">IF(S52="","",IF(S71=D52,0,R112-(G52-S52)))</f>
        <v/>
      </c>
      <c r="T112" s="15" t="str">
        <f aca="false">IF(T52="","",IF(T71=D52,0,S112-(G52-T52)))</f>
        <v/>
      </c>
      <c r="U112" s="15" t="str">
        <f aca="false">IF(U52="","",IF(U71=D52,0,T112-(G52-U52)))</f>
        <v/>
      </c>
      <c r="V112" s="15" t="str">
        <f aca="false">IF(V52="","",IF(V71=D52,0,U112-(G52-V52)))</f>
        <v/>
      </c>
      <c r="W112" s="15" t="str">
        <f aca="false">IF(W52="","",IF(W71=D52,0,V112-(G52-W52)))</f>
        <v/>
      </c>
      <c r="X112" s="15" t="str">
        <f aca="false">IF(X52="","",IF(X71=D52,0,W112-(G52-X52)))</f>
        <v/>
      </c>
      <c r="Y112" s="15" t="str">
        <f aca="false">IF(Y52="","",IF(Y71=D52,0,X112-(G52-Y52)))</f>
        <v/>
      </c>
      <c r="Z112" s="15" t="str">
        <f aca="false">IF(Z52="","",IF(Z71=D52,0,Y112-(G52-Z52)))</f>
        <v/>
      </c>
      <c r="AA112" s="15" t="str">
        <f aca="false">IF(AA52="","",IF(AA71=D52,0,Z112-(G52-AA52)))</f>
        <v/>
      </c>
      <c r="AB112" s="15" t="str">
        <f aca="false">IF(AB52="","",IF(AB71=D52,0,AA112-(G52-AB52)))</f>
        <v/>
      </c>
      <c r="AC112" s="15" t="str">
        <f aca="false">IF(AC52="","",IF(AC71=D52,0,AB112-(G52-AC52)))</f>
        <v/>
      </c>
      <c r="AD112" s="15" t="str">
        <f aca="false">IF(AD52="","",IF(AD71=D52,0,AC112-(G52-AD52)))</f>
        <v/>
      </c>
      <c r="AE112" s="15" t="str">
        <f aca="false">IF(AE52="","",IF(AE71=D52,0,AD112-(G52-AE52)))</f>
        <v/>
      </c>
      <c r="AF112" s="15" t="str">
        <f aca="false">IF(AF52="","",IF(AF71=D52,0,AE112-(G52-AF52)))</f>
        <v/>
      </c>
      <c r="AG112" s="15" t="str">
        <f aca="false">IF(AG52="","",IF(AG71=D52,0,AF112-(G52-AG52)))</f>
        <v/>
      </c>
      <c r="AH112" s="15" t="str">
        <f aca="false">IF(AH52="","",IF(AH71=D52,0,AG112-(G52-AH52)))</f>
        <v/>
      </c>
      <c r="AI112" s="15" t="str">
        <f aca="false">IF(AI52="","",IF(AI71=D52,0,AH112-(G52-AI52)))</f>
        <v/>
      </c>
      <c r="AJ112" s="15" t="str">
        <f aca="false">IF(AJ52="","",IF(AJ71=D52,0,AI112-(G52-AJ52)))</f>
        <v/>
      </c>
      <c r="AK112" s="15" t="str">
        <f aca="false">IF(AK52="","",IF(AK71=D52,0,AJ112-(G52-AK52)))</f>
        <v/>
      </c>
      <c r="AL112" s="15" t="str">
        <f aca="false">IF(AL52="","",IF(AL71=D52,0,AK112-(G52-AL52)))</f>
        <v/>
      </c>
      <c r="AM112" s="15" t="str">
        <f aca="false">IF(AM52="","",IF(AM71=D52,0,AL112-(G52-AM52)))</f>
        <v/>
      </c>
      <c r="AN112" s="15" t="str">
        <f aca="false">IF(AN52="","",IF(AN71=D52,0,AM112-(G52-AN52)))</f>
        <v/>
      </c>
      <c r="AO112" s="15" t="str">
        <f aca="false">IF(AO52="","",IF(AO71=D52,0,AN112-(G52-AO52)))</f>
        <v/>
      </c>
      <c r="AP112" s="15" t="str">
        <f aca="false">IF(AP52="","",IF(AP71=D52,0,AO112-(G52-AP52)))</f>
        <v/>
      </c>
      <c r="AQ112" s="15" t="str">
        <f aca="false">IF(AQ52="","",IF(AQ71=D52,0,AP112-(G52-AQ52)))</f>
        <v/>
      </c>
      <c r="AR112" s="15" t="str">
        <f aca="false">IF(AR52="","",IF(AR71=D52,0,AQ112-(G52-AR52)))</f>
        <v/>
      </c>
      <c r="AS112" s="15" t="str">
        <f aca="false">IF(AS52="","",IF(AS71=D52,0,AR112-(G52-AS52)))</f>
        <v/>
      </c>
      <c r="AT112" s="15" t="str">
        <f aca="false">IF(AT52="","",IF(AT71=D52,0,AS112-(G52-AT52)))</f>
        <v/>
      </c>
      <c r="AU112" s="15" t="str">
        <f aca="false">IF(AU52="","",IF(AU71=D52,0,AT112-(G52-AU52)))</f>
        <v/>
      </c>
      <c r="AV112" s="15" t="str">
        <f aca="false">IF(AV52="","",IF(AV71=D52,0,AU112-(G52-AV52)))</f>
        <v/>
      </c>
      <c r="AW112" s="15" t="str">
        <f aca="false">IF(AW52="","",IF(AW71=D52,0,AV112-(G52-AW52)))</f>
        <v/>
      </c>
      <c r="AX112" s="15" t="str">
        <f aca="false">IF(AX52="","",IF(AX71=D52,0,AW112-(G52-AX52)))</f>
        <v/>
      </c>
      <c r="AY112" s="15" t="str">
        <f aca="false">IF(AY52="","",IF(AY71=D52,0,AX112-(G52-AY52)))</f>
        <v/>
      </c>
      <c r="AZ112" s="15" t="str">
        <f aca="false">IF(AZ52="","",IF(AZ71=D52,0,AY112-(G52-AZ52)))</f>
        <v/>
      </c>
      <c r="BA112" s="15" t="str">
        <f aca="false">IF(BA52="","",IF(BA71=D52,0,AZ112-(G52-BA52)))</f>
        <v/>
      </c>
      <c r="BB112" s="15" t="str">
        <f aca="false">IF(BB52="","",IF(BB71=D52,0,BA112-(G52-BB52)))</f>
        <v/>
      </c>
      <c r="BC112" s="15" t="str">
        <f aca="false">IF(BC52="","",IF(BC71=D52,0,BB112-(G52-BC52)))</f>
        <v/>
      </c>
      <c r="BD112" s="15" t="str">
        <f aca="false">IF(BD52="","",IF(BD71=D52,0,BC112-(G52-BD52)))</f>
        <v/>
      </c>
      <c r="BE112" s="15" t="str">
        <f aca="false">IF(BE52="","",IF(BE71=D52,0,BD112-(G52-BE52)))</f>
        <v/>
      </c>
      <c r="BF112" s="15" t="str">
        <f aca="false">IF(BF52="","",IF(BF71=D52,0,BE112-(G52-BF52)))</f>
        <v/>
      </c>
      <c r="BG112" s="15" t="str">
        <f aca="false">IF(BG52="","",IF(BG71=D52,0,BF112-(G52-BG52)))</f>
        <v/>
      </c>
      <c r="BH112" s="15" t="str">
        <f aca="false">IF(BH52="","",IF(BH71=D52,0,BG112-(G52-BH52)))</f>
        <v/>
      </c>
      <c r="BI112" s="15" t="str">
        <f aca="false">IF(BI52="","",IF(BI71=D52,0,BH112-(G52-BI52)))</f>
        <v/>
      </c>
      <c r="BJ112" s="15" t="str">
        <f aca="false">IF(BJ52="","",IF(BJ71=D52,0,BI112-(G52-BJ52)))</f>
        <v/>
      </c>
      <c r="BK112" s="15" t="str">
        <f aca="false">IF(BK52="","",IF(BK71=D52,0,BJ112-(G52-BK52)))</f>
        <v/>
      </c>
      <c r="BL112" s="15" t="str">
        <f aca="false">IF(BL52="","",IF(BL71=D52,0,BK112-(G52-BL52)))</f>
        <v/>
      </c>
      <c r="BM112" s="15" t="str">
        <f aca="false">IF(BM52="","",IF(BM71=D52,0,BL112-(G52-BM52)))</f>
        <v/>
      </c>
      <c r="BN112" s="15" t="str">
        <f aca="false">IF(BN52="","",IF(BN71=D52,0,BM112-(G52-BN52)))</f>
        <v/>
      </c>
      <c r="BO112" s="15" t="str">
        <f aca="false">IF(BO52="","",IF(BO71=D52,0,BN112-(G52-BO52)))</f>
        <v/>
      </c>
      <c r="BP112" s="15" t="str">
        <f aca="false">IF(BP52="","",IF(BP71=D52,0,BO112-(G52-BP52)))</f>
        <v/>
      </c>
    </row>
    <row r="113" customFormat="false" ht="15" hidden="false" customHeight="false" outlineLevel="0" collapsed="false">
      <c r="A113" s="29" t="str">
        <f aca="false">A53</f>
        <v/>
      </c>
      <c r="B113" s="29" t="str">
        <f aca="false">B53</f>
        <v/>
      </c>
      <c r="C113" s="29" t="str">
        <f aca="false">C53</f>
        <v/>
      </c>
      <c r="D113" s="16" t="str">
        <f aca="false">D53</f>
        <v/>
      </c>
      <c r="E113" s="17" t="str">
        <f aca="false">E53</f>
        <v/>
      </c>
      <c r="F113" s="15" t="str">
        <f aca="false">F53</f>
        <v/>
      </c>
      <c r="G113" s="15" t="str">
        <f aca="false">G53</f>
        <v/>
      </c>
      <c r="I113" s="15" t="str">
        <f aca="false">IF(I53="","",IF(I71=D53,0,F53-(G53-I53)))</f>
        <v/>
      </c>
      <c r="J113" s="15" t="str">
        <f aca="false">IF(J53="","",IF(J71=D53,0,I113-(G53-J53)))</f>
        <v/>
      </c>
      <c r="K113" s="15" t="str">
        <f aca="false">IF(K53="","",IF(K71=D53,0,J113-(G53-K53)))</f>
        <v/>
      </c>
      <c r="L113" s="15" t="str">
        <f aca="false">IF(L53="","",IF(L71=D53,0,K113-(G53-L53)))</f>
        <v/>
      </c>
      <c r="M113" s="15" t="str">
        <f aca="false">IF(M53="","",IF(M71=D53,0,L113-(G53-M53)))</f>
        <v/>
      </c>
      <c r="N113" s="15" t="str">
        <f aca="false">IF(N53="","",IF(N71=D53,0,M113-(G53-N53)))</f>
        <v/>
      </c>
      <c r="O113" s="15" t="str">
        <f aca="false">IF(O53="","",IF(O71=D53,0,N113-(G53-O53)))</f>
        <v/>
      </c>
      <c r="P113" s="15" t="str">
        <f aca="false">IF(P53="","",IF(P71=D53,0,O113-(G53-P53)))</f>
        <v/>
      </c>
      <c r="Q113" s="15" t="str">
        <f aca="false">IF(Q53="","",IF(Q71=D53,0,P113-(G53-Q53)))</f>
        <v/>
      </c>
      <c r="R113" s="15" t="str">
        <f aca="false">IF(R53="","",IF(R71=D53,0,Q113-(G53-R53)))</f>
        <v/>
      </c>
      <c r="S113" s="15" t="str">
        <f aca="false">IF(S53="","",IF(S71=D53,0,R113-(G53-S53)))</f>
        <v/>
      </c>
      <c r="T113" s="15" t="str">
        <f aca="false">IF(T53="","",IF(T71=D53,0,S113-(G53-T53)))</f>
        <v/>
      </c>
      <c r="U113" s="15" t="str">
        <f aca="false">IF(U53="","",IF(U71=D53,0,T113-(G53-U53)))</f>
        <v/>
      </c>
      <c r="V113" s="15" t="str">
        <f aca="false">IF(V53="","",IF(V71=D53,0,U113-(G53-V53)))</f>
        <v/>
      </c>
      <c r="W113" s="15" t="str">
        <f aca="false">IF(W53="","",IF(W71=D53,0,V113-(G53-W53)))</f>
        <v/>
      </c>
      <c r="X113" s="15" t="str">
        <f aca="false">IF(X53="","",IF(X71=D53,0,W113-(G53-X53)))</f>
        <v/>
      </c>
      <c r="Y113" s="15" t="str">
        <f aca="false">IF(Y53="","",IF(Y71=D53,0,X113-(G53-Y53)))</f>
        <v/>
      </c>
      <c r="Z113" s="15" t="str">
        <f aca="false">IF(Z53="","",IF(Z71=D53,0,Y113-(G53-Z53)))</f>
        <v/>
      </c>
      <c r="AA113" s="15" t="str">
        <f aca="false">IF(AA53="","",IF(AA71=D53,0,Z113-(G53-AA53)))</f>
        <v/>
      </c>
      <c r="AB113" s="15" t="str">
        <f aca="false">IF(AB53="","",IF(AB71=D53,0,AA113-(G53-AB53)))</f>
        <v/>
      </c>
      <c r="AC113" s="15" t="str">
        <f aca="false">IF(AC53="","",IF(AC71=D53,0,AB113-(G53-AC53)))</f>
        <v/>
      </c>
      <c r="AD113" s="15" t="str">
        <f aca="false">IF(AD53="","",IF(AD71=D53,0,AC113-(G53-AD53)))</f>
        <v/>
      </c>
      <c r="AE113" s="15" t="str">
        <f aca="false">IF(AE53="","",IF(AE71=D53,0,AD113-(G53-AE53)))</f>
        <v/>
      </c>
      <c r="AF113" s="15" t="str">
        <f aca="false">IF(AF53="","",IF(AF71=D53,0,AE113-(G53-AF53)))</f>
        <v/>
      </c>
      <c r="AG113" s="15" t="str">
        <f aca="false">IF(AG53="","",IF(AG71=D53,0,AF113-(G53-AG53)))</f>
        <v/>
      </c>
      <c r="AH113" s="15" t="str">
        <f aca="false">IF(AH53="","",IF(AH71=D53,0,AG113-(G53-AH53)))</f>
        <v/>
      </c>
      <c r="AI113" s="15" t="str">
        <f aca="false">IF(AI53="","",IF(AI71=D53,0,AH113-(G53-AI53)))</f>
        <v/>
      </c>
      <c r="AJ113" s="15" t="str">
        <f aca="false">IF(AJ53="","",IF(AJ71=D53,0,AI113-(G53-AJ53)))</f>
        <v/>
      </c>
      <c r="AK113" s="15" t="str">
        <f aca="false">IF(AK53="","",IF(AK71=D53,0,AJ113-(G53-AK53)))</f>
        <v/>
      </c>
      <c r="AL113" s="15" t="str">
        <f aca="false">IF(AL53="","",IF(AL71=D53,0,AK113-(G53-AL53)))</f>
        <v/>
      </c>
      <c r="AM113" s="15" t="str">
        <f aca="false">IF(AM53="","",IF(AM71=D53,0,AL113-(G53-AM53)))</f>
        <v/>
      </c>
      <c r="AN113" s="15" t="str">
        <f aca="false">IF(AN53="","",IF(AN71=D53,0,AM113-(G53-AN53)))</f>
        <v/>
      </c>
      <c r="AO113" s="15" t="str">
        <f aca="false">IF(AO53="","",IF(AO71=D53,0,AN113-(G53-AO53)))</f>
        <v/>
      </c>
      <c r="AP113" s="15" t="str">
        <f aca="false">IF(AP53="","",IF(AP71=D53,0,AO113-(G53-AP53)))</f>
        <v/>
      </c>
      <c r="AQ113" s="15" t="str">
        <f aca="false">IF(AQ53="","",IF(AQ71=D53,0,AP113-(G53-AQ53)))</f>
        <v/>
      </c>
      <c r="AR113" s="15" t="str">
        <f aca="false">IF(AR53="","",IF(AR71=D53,0,AQ113-(G53-AR53)))</f>
        <v/>
      </c>
      <c r="AS113" s="15" t="str">
        <f aca="false">IF(AS53="","",IF(AS71=D53,0,AR113-(G53-AS53)))</f>
        <v/>
      </c>
      <c r="AT113" s="15" t="str">
        <f aca="false">IF(AT53="","",IF(AT71=D53,0,AS113-(G53-AT53)))</f>
        <v/>
      </c>
      <c r="AU113" s="15" t="str">
        <f aca="false">IF(AU53="","",IF(AU71=D53,0,AT113-(G53-AU53)))</f>
        <v/>
      </c>
      <c r="AV113" s="15" t="str">
        <f aca="false">IF(AV53="","",IF(AV71=D53,0,AU113-(G53-AV53)))</f>
        <v/>
      </c>
      <c r="AW113" s="15" t="str">
        <f aca="false">IF(AW53="","",IF(AW71=D53,0,AV113-(G53-AW53)))</f>
        <v/>
      </c>
      <c r="AX113" s="15" t="str">
        <f aca="false">IF(AX53="","",IF(AX71=D53,0,AW113-(G53-AX53)))</f>
        <v/>
      </c>
      <c r="AY113" s="15" t="str">
        <f aca="false">IF(AY53="","",IF(AY71=D53,0,AX113-(G53-AY53)))</f>
        <v/>
      </c>
      <c r="AZ113" s="15" t="str">
        <f aca="false">IF(AZ53="","",IF(AZ71=D53,0,AY113-(G53-AZ53)))</f>
        <v/>
      </c>
      <c r="BA113" s="15" t="str">
        <f aca="false">IF(BA53="","",IF(BA71=D53,0,AZ113-(G53-BA53)))</f>
        <v/>
      </c>
      <c r="BB113" s="15" t="str">
        <f aca="false">IF(BB53="","",IF(BB71=D53,0,BA113-(G53-BB53)))</f>
        <v/>
      </c>
      <c r="BC113" s="15" t="str">
        <f aca="false">IF(BC53="","",IF(BC71=D53,0,BB113-(G53-BC53)))</f>
        <v/>
      </c>
      <c r="BD113" s="15" t="str">
        <f aca="false">IF(BD53="","",IF(BD71=D53,0,BC113-(G53-BD53)))</f>
        <v/>
      </c>
      <c r="BE113" s="15" t="str">
        <f aca="false">IF(BE53="","",IF(BE71=D53,0,BD113-(G53-BE53)))</f>
        <v/>
      </c>
      <c r="BF113" s="15" t="str">
        <f aca="false">IF(BF53="","",IF(BF71=D53,0,BE113-(G53-BF53)))</f>
        <v/>
      </c>
      <c r="BG113" s="15" t="str">
        <f aca="false">IF(BG53="","",IF(BG71=D53,0,BF113-(G53-BG53)))</f>
        <v/>
      </c>
      <c r="BH113" s="15" t="str">
        <f aca="false">IF(BH53="","",IF(BH71=D53,0,BG113-(G53-BH53)))</f>
        <v/>
      </c>
      <c r="BI113" s="15" t="str">
        <f aca="false">IF(BI53="","",IF(BI71=D53,0,BH113-(G53-BI53)))</f>
        <v/>
      </c>
      <c r="BJ113" s="15" t="str">
        <f aca="false">IF(BJ53="","",IF(BJ71=D53,0,BI113-(G53-BJ53)))</f>
        <v/>
      </c>
      <c r="BK113" s="15" t="str">
        <f aca="false">IF(BK53="","",IF(BK71=D53,0,BJ113-(G53-BK53)))</f>
        <v/>
      </c>
      <c r="BL113" s="15" t="str">
        <f aca="false">IF(BL53="","",IF(BL71=D53,0,BK113-(G53-BL53)))</f>
        <v/>
      </c>
      <c r="BM113" s="15" t="str">
        <f aca="false">IF(BM53="","",IF(BM71=D53,0,BL113-(G53-BM53)))</f>
        <v/>
      </c>
      <c r="BN113" s="15" t="str">
        <f aca="false">IF(BN53="","",IF(BN71=D53,0,BM113-(G53-BN53)))</f>
        <v/>
      </c>
      <c r="BO113" s="15" t="str">
        <f aca="false">IF(BO53="","",IF(BO71=D53,0,BN113-(G53-BO53)))</f>
        <v/>
      </c>
      <c r="BP113" s="15" t="str">
        <f aca="false">IF(BP53="","",IF(BP71=D53,0,BO113-(G53-BP53)))</f>
        <v/>
      </c>
    </row>
    <row r="114" customFormat="false" ht="15" hidden="false" customHeight="false" outlineLevel="0" collapsed="false">
      <c r="A114" s="29" t="str">
        <f aca="false">A54</f>
        <v/>
      </c>
      <c r="B114" s="29" t="str">
        <f aca="false">B54</f>
        <v/>
      </c>
      <c r="C114" s="29" t="str">
        <f aca="false">C54</f>
        <v/>
      </c>
      <c r="D114" s="16" t="str">
        <f aca="false">D54</f>
        <v/>
      </c>
      <c r="E114" s="17" t="str">
        <f aca="false">E54</f>
        <v/>
      </c>
      <c r="F114" s="15" t="str">
        <f aca="false">F54</f>
        <v/>
      </c>
      <c r="G114" s="15" t="str">
        <f aca="false">G54</f>
        <v/>
      </c>
      <c r="I114" s="15" t="str">
        <f aca="false">IF(I54="","",IF(I71=D54,0,F54-(G54-I54)))</f>
        <v/>
      </c>
      <c r="J114" s="15" t="str">
        <f aca="false">IF(J54="","",IF(J71=D54,0,I114-(G54-J54)))</f>
        <v/>
      </c>
      <c r="K114" s="15" t="str">
        <f aca="false">IF(K54="","",IF(K71=D54,0,J114-(G54-K54)))</f>
        <v/>
      </c>
      <c r="L114" s="15" t="str">
        <f aca="false">IF(L54="","",IF(L71=D54,0,K114-(G54-L54)))</f>
        <v/>
      </c>
      <c r="M114" s="15" t="str">
        <f aca="false">IF(M54="","",IF(M71=D54,0,L114-(G54-M54)))</f>
        <v/>
      </c>
      <c r="N114" s="15" t="str">
        <f aca="false">IF(N54="","",IF(N71=D54,0,M114-(G54-N54)))</f>
        <v/>
      </c>
      <c r="O114" s="15" t="str">
        <f aca="false">IF(O54="","",IF(O71=D54,0,N114-(G54-O54)))</f>
        <v/>
      </c>
      <c r="P114" s="15" t="str">
        <f aca="false">IF(P54="","",IF(P71=D54,0,O114-(G54-P54)))</f>
        <v/>
      </c>
      <c r="Q114" s="15" t="str">
        <f aca="false">IF(Q54="","",IF(Q71=D54,0,P114-(G54-Q54)))</f>
        <v/>
      </c>
      <c r="R114" s="15" t="str">
        <f aca="false">IF(R54="","",IF(R71=D54,0,Q114-(G54-R54)))</f>
        <v/>
      </c>
      <c r="S114" s="15" t="str">
        <f aca="false">IF(S54="","",IF(S71=D54,0,R114-(G54-S54)))</f>
        <v/>
      </c>
      <c r="T114" s="15" t="str">
        <f aca="false">IF(T54="","",IF(T71=D54,0,S114-(G54-T54)))</f>
        <v/>
      </c>
      <c r="U114" s="15" t="str">
        <f aca="false">IF(U54="","",IF(U71=D54,0,T114-(G54-U54)))</f>
        <v/>
      </c>
      <c r="V114" s="15" t="str">
        <f aca="false">IF(V54="","",IF(V71=D54,0,U114-(G54-V54)))</f>
        <v/>
      </c>
      <c r="W114" s="15" t="str">
        <f aca="false">IF(W54="","",IF(W71=D54,0,V114-(G54-W54)))</f>
        <v/>
      </c>
      <c r="X114" s="15" t="str">
        <f aca="false">IF(X54="","",IF(X71=D54,0,W114-(G54-X54)))</f>
        <v/>
      </c>
      <c r="Y114" s="15" t="str">
        <f aca="false">IF(Y54="","",IF(Y71=D54,0,X114-(G54-Y54)))</f>
        <v/>
      </c>
      <c r="Z114" s="15" t="str">
        <f aca="false">IF(Z54="","",IF(Z71=D54,0,Y114-(G54-Z54)))</f>
        <v/>
      </c>
      <c r="AA114" s="15" t="str">
        <f aca="false">IF(AA54="","",IF(AA71=D54,0,Z114-(G54-AA54)))</f>
        <v/>
      </c>
      <c r="AB114" s="15" t="str">
        <f aca="false">IF(AB54="","",IF(AB71=D54,0,AA114-(G54-AB54)))</f>
        <v/>
      </c>
      <c r="AC114" s="15" t="str">
        <f aca="false">IF(AC54="","",IF(AC71=D54,0,AB114-(G54-AC54)))</f>
        <v/>
      </c>
      <c r="AD114" s="15" t="str">
        <f aca="false">IF(AD54="","",IF(AD71=D54,0,AC114-(G54-AD54)))</f>
        <v/>
      </c>
      <c r="AE114" s="15" t="str">
        <f aca="false">IF(AE54="","",IF(AE71=D54,0,AD114-(G54-AE54)))</f>
        <v/>
      </c>
      <c r="AF114" s="15" t="str">
        <f aca="false">IF(AF54="","",IF(AF71=D54,0,AE114-(G54-AF54)))</f>
        <v/>
      </c>
      <c r="AG114" s="15" t="str">
        <f aca="false">IF(AG54="","",IF(AG71=D54,0,AF114-(G54-AG54)))</f>
        <v/>
      </c>
      <c r="AH114" s="15" t="str">
        <f aca="false">IF(AH54="","",IF(AH71=D54,0,AG114-(G54-AH54)))</f>
        <v/>
      </c>
      <c r="AI114" s="15" t="str">
        <f aca="false">IF(AI54="","",IF(AI71=D54,0,AH114-(G54-AI54)))</f>
        <v/>
      </c>
      <c r="AJ114" s="15" t="str">
        <f aca="false">IF(AJ54="","",IF(AJ71=D54,0,AI114-(G54-AJ54)))</f>
        <v/>
      </c>
      <c r="AK114" s="15" t="str">
        <f aca="false">IF(AK54="","",IF(AK71=D54,0,AJ114-(G54-AK54)))</f>
        <v/>
      </c>
      <c r="AL114" s="15" t="str">
        <f aca="false">IF(AL54="","",IF(AL71=D54,0,AK114-(G54-AL54)))</f>
        <v/>
      </c>
      <c r="AM114" s="15" t="str">
        <f aca="false">IF(AM54="","",IF(AM71=D54,0,AL114-(G54-AM54)))</f>
        <v/>
      </c>
      <c r="AN114" s="15" t="str">
        <f aca="false">IF(AN54="","",IF(AN71=D54,0,AM114-(G54-AN54)))</f>
        <v/>
      </c>
      <c r="AO114" s="15" t="str">
        <f aca="false">IF(AO54="","",IF(AO71=D54,0,AN114-(G54-AO54)))</f>
        <v/>
      </c>
      <c r="AP114" s="15" t="str">
        <f aca="false">IF(AP54="","",IF(AP71=D54,0,AO114-(G54-AP54)))</f>
        <v/>
      </c>
      <c r="AQ114" s="15" t="str">
        <f aca="false">IF(AQ54="","",IF(AQ71=D54,0,AP114-(G54-AQ54)))</f>
        <v/>
      </c>
      <c r="AR114" s="15" t="str">
        <f aca="false">IF(AR54="","",IF(AR71=D54,0,AQ114-(G54-AR54)))</f>
        <v/>
      </c>
      <c r="AS114" s="15" t="str">
        <f aca="false">IF(AS54="","",IF(AS71=D54,0,AR114-(G54-AS54)))</f>
        <v/>
      </c>
      <c r="AT114" s="15" t="str">
        <f aca="false">IF(AT54="","",IF(AT71=D54,0,AS114-(G54-AT54)))</f>
        <v/>
      </c>
      <c r="AU114" s="15" t="str">
        <f aca="false">IF(AU54="","",IF(AU71=D54,0,AT114-(G54-AU54)))</f>
        <v/>
      </c>
      <c r="AV114" s="15" t="str">
        <f aca="false">IF(AV54="","",IF(AV71=D54,0,AU114-(G54-AV54)))</f>
        <v/>
      </c>
      <c r="AW114" s="15" t="str">
        <f aca="false">IF(AW54="","",IF(AW71=D54,0,AV114-(G54-AW54)))</f>
        <v/>
      </c>
      <c r="AX114" s="15" t="str">
        <f aca="false">IF(AX54="","",IF(AX71=D54,0,AW114-(G54-AX54)))</f>
        <v/>
      </c>
      <c r="AY114" s="15" t="str">
        <f aca="false">IF(AY54="","",IF(AY71=D54,0,AX114-(G54-AY54)))</f>
        <v/>
      </c>
      <c r="AZ114" s="15" t="str">
        <f aca="false">IF(AZ54="","",IF(AZ71=D54,0,AY114-(G54-AZ54)))</f>
        <v/>
      </c>
      <c r="BA114" s="15" t="str">
        <f aca="false">IF(BA54="","",IF(BA71=D54,0,AZ114-(G54-BA54)))</f>
        <v/>
      </c>
      <c r="BB114" s="15" t="str">
        <f aca="false">IF(BB54="","",IF(BB71=D54,0,BA114-(G54-BB54)))</f>
        <v/>
      </c>
      <c r="BC114" s="15" t="str">
        <f aca="false">IF(BC54="","",IF(BC71=D54,0,BB114-(G54-BC54)))</f>
        <v/>
      </c>
      <c r="BD114" s="15" t="str">
        <f aca="false">IF(BD54="","",IF(BD71=D54,0,BC114-(G54-BD54)))</f>
        <v/>
      </c>
      <c r="BE114" s="15" t="str">
        <f aca="false">IF(BE54="","",IF(BE71=D54,0,BD114-(G54-BE54)))</f>
        <v/>
      </c>
      <c r="BF114" s="15" t="str">
        <f aca="false">IF(BF54="","",IF(BF71=D54,0,BE114-(G54-BF54)))</f>
        <v/>
      </c>
      <c r="BG114" s="15" t="str">
        <f aca="false">IF(BG54="","",IF(BG71=D54,0,BF114-(G54-BG54)))</f>
        <v/>
      </c>
      <c r="BH114" s="15" t="str">
        <f aca="false">IF(BH54="","",IF(BH71=D54,0,BG114-(G54-BH54)))</f>
        <v/>
      </c>
      <c r="BI114" s="15" t="str">
        <f aca="false">IF(BI54="","",IF(BI71=D54,0,BH114-(G54-BI54)))</f>
        <v/>
      </c>
      <c r="BJ114" s="15" t="str">
        <f aca="false">IF(BJ54="","",IF(BJ71=D54,0,BI114-(G54-BJ54)))</f>
        <v/>
      </c>
      <c r="BK114" s="15" t="str">
        <f aca="false">IF(BK54="","",IF(BK71=D54,0,BJ114-(G54-BK54)))</f>
        <v/>
      </c>
      <c r="BL114" s="15" t="str">
        <f aca="false">IF(BL54="","",IF(BL71=D54,0,BK114-(G54-BL54)))</f>
        <v/>
      </c>
      <c r="BM114" s="15" t="str">
        <f aca="false">IF(BM54="","",IF(BM71=D54,0,BL114-(G54-BM54)))</f>
        <v/>
      </c>
      <c r="BN114" s="15" t="str">
        <f aca="false">IF(BN54="","",IF(BN71=D54,0,BM114-(G54-BN54)))</f>
        <v/>
      </c>
      <c r="BO114" s="15" t="str">
        <f aca="false">IF(BO54="","",IF(BO71=D54,0,BN114-(G54-BO54)))</f>
        <v/>
      </c>
      <c r="BP114" s="15" t="str">
        <f aca="false">IF(BP54="","",IF(BP71=D54,0,BO114-(G54-BP54)))</f>
        <v/>
      </c>
    </row>
    <row r="115" customFormat="false" ht="15" hidden="false" customHeight="false" outlineLevel="0" collapsed="false">
      <c r="A115" s="29" t="str">
        <f aca="false">A55</f>
        <v/>
      </c>
      <c r="B115" s="29" t="str">
        <f aca="false">B55</f>
        <v/>
      </c>
      <c r="C115" s="29" t="str">
        <f aca="false">C55</f>
        <v/>
      </c>
      <c r="D115" s="16" t="str">
        <f aca="false">D55</f>
        <v/>
      </c>
      <c r="E115" s="17" t="str">
        <f aca="false">E55</f>
        <v/>
      </c>
      <c r="F115" s="15" t="str">
        <f aca="false">F55</f>
        <v/>
      </c>
      <c r="G115" s="15" t="str">
        <f aca="false">G55</f>
        <v/>
      </c>
      <c r="I115" s="15" t="str">
        <f aca="false">IF(I55="","",IF(I71=D55,0,F55-(G55-I55)))</f>
        <v/>
      </c>
      <c r="J115" s="15" t="str">
        <f aca="false">IF(J55="","",IF(J71=D55,0,I115-(G55-J55)))</f>
        <v/>
      </c>
      <c r="K115" s="15" t="str">
        <f aca="false">IF(K55="","",IF(K71=D55,0,J115-(G55-K55)))</f>
        <v/>
      </c>
      <c r="L115" s="15" t="str">
        <f aca="false">IF(L55="","",IF(L71=D55,0,K115-(G55-L55)))</f>
        <v/>
      </c>
      <c r="M115" s="15" t="str">
        <f aca="false">IF(M55="","",IF(M71=D55,0,L115-(G55-M55)))</f>
        <v/>
      </c>
      <c r="N115" s="15" t="str">
        <f aca="false">IF(N55="","",IF(N71=D55,0,M115-(G55-N55)))</f>
        <v/>
      </c>
      <c r="O115" s="15" t="str">
        <f aca="false">IF(O55="","",IF(O71=D55,0,N115-(G55-O55)))</f>
        <v/>
      </c>
      <c r="P115" s="15" t="str">
        <f aca="false">IF(P55="","",IF(P71=D55,0,O115-(G55-P55)))</f>
        <v/>
      </c>
      <c r="Q115" s="15" t="str">
        <f aca="false">IF(Q55="","",IF(Q71=D55,0,P115-(G55-Q55)))</f>
        <v/>
      </c>
      <c r="R115" s="15" t="str">
        <f aca="false">IF(R55="","",IF(R71=D55,0,Q115-(G55-R55)))</f>
        <v/>
      </c>
      <c r="S115" s="15" t="str">
        <f aca="false">IF(S55="","",IF(S71=D55,0,R115-(G55-S55)))</f>
        <v/>
      </c>
      <c r="T115" s="15" t="str">
        <f aca="false">IF(T55="","",IF(T71=D55,0,S115-(G55-T55)))</f>
        <v/>
      </c>
      <c r="U115" s="15" t="str">
        <f aca="false">IF(U55="","",IF(U71=D55,0,T115-(G55-U55)))</f>
        <v/>
      </c>
      <c r="V115" s="15" t="str">
        <f aca="false">IF(V55="","",IF(V71=D55,0,U115-(G55-V55)))</f>
        <v/>
      </c>
      <c r="W115" s="15" t="str">
        <f aca="false">IF(W55="","",IF(W71=D55,0,V115-(G55-W55)))</f>
        <v/>
      </c>
      <c r="X115" s="15" t="str">
        <f aca="false">IF(X55="","",IF(X71=D55,0,W115-(G55-X55)))</f>
        <v/>
      </c>
      <c r="Y115" s="15" t="str">
        <f aca="false">IF(Y55="","",IF(Y71=D55,0,X115-(G55-Y55)))</f>
        <v/>
      </c>
      <c r="Z115" s="15" t="str">
        <f aca="false">IF(Z55="","",IF(Z71=D55,0,Y115-(G55-Z55)))</f>
        <v/>
      </c>
      <c r="AA115" s="15" t="str">
        <f aca="false">IF(AA55="","",IF(AA71=D55,0,Z115-(G55-AA55)))</f>
        <v/>
      </c>
      <c r="AB115" s="15" t="str">
        <f aca="false">IF(AB55="","",IF(AB71=D55,0,AA115-(G55-AB55)))</f>
        <v/>
      </c>
      <c r="AC115" s="15" t="str">
        <f aca="false">IF(AC55="","",IF(AC71=D55,0,AB115-(G55-AC55)))</f>
        <v/>
      </c>
      <c r="AD115" s="15" t="str">
        <f aca="false">IF(AD55="","",IF(AD71=D55,0,AC115-(G55-AD55)))</f>
        <v/>
      </c>
      <c r="AE115" s="15" t="str">
        <f aca="false">IF(AE55="","",IF(AE71=D55,0,AD115-(G55-AE55)))</f>
        <v/>
      </c>
      <c r="AF115" s="15" t="str">
        <f aca="false">IF(AF55="","",IF(AF71=D55,0,AE115-(G55-AF55)))</f>
        <v/>
      </c>
      <c r="AG115" s="15" t="str">
        <f aca="false">IF(AG55="","",IF(AG71=D55,0,AF115-(G55-AG55)))</f>
        <v/>
      </c>
      <c r="AH115" s="15" t="str">
        <f aca="false">IF(AH55="","",IF(AH71=D55,0,AG115-(G55-AH55)))</f>
        <v/>
      </c>
      <c r="AI115" s="15" t="str">
        <f aca="false">IF(AI55="","",IF(AI71=D55,0,AH115-(G55-AI55)))</f>
        <v/>
      </c>
      <c r="AJ115" s="15" t="str">
        <f aca="false">IF(AJ55="","",IF(AJ71=D55,0,AI115-(G55-AJ55)))</f>
        <v/>
      </c>
      <c r="AK115" s="15" t="str">
        <f aca="false">IF(AK55="","",IF(AK71=D55,0,AJ115-(G55-AK55)))</f>
        <v/>
      </c>
      <c r="AL115" s="15" t="str">
        <f aca="false">IF(AL55="","",IF(AL71=D55,0,AK115-(G55-AL55)))</f>
        <v/>
      </c>
      <c r="AM115" s="15" t="str">
        <f aca="false">IF(AM55="","",IF(AM71=D55,0,AL115-(G55-AM55)))</f>
        <v/>
      </c>
      <c r="AN115" s="15" t="str">
        <f aca="false">IF(AN55="","",IF(AN71=D55,0,AM115-(G55-AN55)))</f>
        <v/>
      </c>
      <c r="AO115" s="15" t="str">
        <f aca="false">IF(AO55="","",IF(AO71=D55,0,AN115-(G55-AO55)))</f>
        <v/>
      </c>
      <c r="AP115" s="15" t="str">
        <f aca="false">IF(AP55="","",IF(AP71=D55,0,AO115-(G55-AP55)))</f>
        <v/>
      </c>
      <c r="AQ115" s="15" t="str">
        <f aca="false">IF(AQ55="","",IF(AQ71=D55,0,AP115-(G55-AQ55)))</f>
        <v/>
      </c>
      <c r="AR115" s="15" t="str">
        <f aca="false">IF(AR55="","",IF(AR71=D55,0,AQ115-(G55-AR55)))</f>
        <v/>
      </c>
      <c r="AS115" s="15" t="str">
        <f aca="false">IF(AS55="","",IF(AS71=D55,0,AR115-(G55-AS55)))</f>
        <v/>
      </c>
      <c r="AT115" s="15" t="str">
        <f aca="false">IF(AT55="","",IF(AT71=D55,0,AS115-(G55-AT55)))</f>
        <v/>
      </c>
      <c r="AU115" s="15" t="str">
        <f aca="false">IF(AU55="","",IF(AU71=D55,0,AT115-(G55-AU55)))</f>
        <v/>
      </c>
      <c r="AV115" s="15" t="str">
        <f aca="false">IF(AV55="","",IF(AV71=D55,0,AU115-(G55-AV55)))</f>
        <v/>
      </c>
      <c r="AW115" s="15" t="str">
        <f aca="false">IF(AW55="","",IF(AW71=D55,0,AV115-(G55-AW55)))</f>
        <v/>
      </c>
      <c r="AX115" s="15" t="str">
        <f aca="false">IF(AX55="","",IF(AX71=D55,0,AW115-(G55-AX55)))</f>
        <v/>
      </c>
      <c r="AY115" s="15" t="str">
        <f aca="false">IF(AY55="","",IF(AY71=D55,0,AX115-(G55-AY55)))</f>
        <v/>
      </c>
      <c r="AZ115" s="15" t="str">
        <f aca="false">IF(AZ55="","",IF(AZ71=D55,0,AY115-(G55-AZ55)))</f>
        <v/>
      </c>
      <c r="BA115" s="15" t="str">
        <f aca="false">IF(BA55="","",IF(BA71=D55,0,AZ115-(G55-BA55)))</f>
        <v/>
      </c>
      <c r="BB115" s="15" t="str">
        <f aca="false">IF(BB55="","",IF(BB71=D55,0,BA115-(G55-BB55)))</f>
        <v/>
      </c>
      <c r="BC115" s="15" t="str">
        <f aca="false">IF(BC55="","",IF(BC71=D55,0,BB115-(G55-BC55)))</f>
        <v/>
      </c>
      <c r="BD115" s="15" t="str">
        <f aca="false">IF(BD55="","",IF(BD71=D55,0,BC115-(G55-BD55)))</f>
        <v/>
      </c>
      <c r="BE115" s="15" t="str">
        <f aca="false">IF(BE55="","",IF(BE71=D55,0,BD115-(G55-BE55)))</f>
        <v/>
      </c>
      <c r="BF115" s="15" t="str">
        <f aca="false">IF(BF55="","",IF(BF71=D55,0,BE115-(G55-BF55)))</f>
        <v/>
      </c>
      <c r="BG115" s="15" t="str">
        <f aca="false">IF(BG55="","",IF(BG71=D55,0,BF115-(G55-BG55)))</f>
        <v/>
      </c>
      <c r="BH115" s="15" t="str">
        <f aca="false">IF(BH55="","",IF(BH71=D55,0,BG115-(G55-BH55)))</f>
        <v/>
      </c>
      <c r="BI115" s="15" t="str">
        <f aca="false">IF(BI55="","",IF(BI71=D55,0,BH115-(G55-BI55)))</f>
        <v/>
      </c>
      <c r="BJ115" s="15" t="str">
        <f aca="false">IF(BJ55="","",IF(BJ71=D55,0,BI115-(G55-BJ55)))</f>
        <v/>
      </c>
      <c r="BK115" s="15" t="str">
        <f aca="false">IF(BK55="","",IF(BK71=D55,0,BJ115-(G55-BK55)))</f>
        <v/>
      </c>
      <c r="BL115" s="15" t="str">
        <f aca="false">IF(BL55="","",IF(BL71=D55,0,BK115-(G55-BL55)))</f>
        <v/>
      </c>
      <c r="BM115" s="15" t="str">
        <f aca="false">IF(BM55="","",IF(BM71=D55,0,BL115-(G55-BM55)))</f>
        <v/>
      </c>
      <c r="BN115" s="15" t="str">
        <f aca="false">IF(BN55="","",IF(BN71=D55,0,BM115-(G55-BN55)))</f>
        <v/>
      </c>
      <c r="BO115" s="15" t="str">
        <f aca="false">IF(BO55="","",IF(BO71=D55,0,BN115-(G55-BO55)))</f>
        <v/>
      </c>
      <c r="BP115" s="15" t="str">
        <f aca="false">IF(BP55="","",IF(BP71=D55,0,BO115-(G55-BP55)))</f>
        <v/>
      </c>
    </row>
    <row r="116" customFormat="false" ht="15" hidden="false" customHeight="false" outlineLevel="0" collapsed="false">
      <c r="A116" s="29" t="str">
        <f aca="false">A56</f>
        <v/>
      </c>
      <c r="B116" s="29" t="str">
        <f aca="false">B56</f>
        <v/>
      </c>
      <c r="C116" s="29" t="str">
        <f aca="false">C56</f>
        <v/>
      </c>
      <c r="D116" s="16" t="str">
        <f aca="false">D56</f>
        <v/>
      </c>
      <c r="E116" s="17" t="str">
        <f aca="false">E56</f>
        <v/>
      </c>
      <c r="F116" s="15" t="str">
        <f aca="false">F56</f>
        <v/>
      </c>
      <c r="G116" s="15" t="str">
        <f aca="false">G56</f>
        <v/>
      </c>
      <c r="I116" s="15" t="str">
        <f aca="false">IF(I56="","",IF(I71=D56,0,F56-(G56-I56)))</f>
        <v/>
      </c>
      <c r="J116" s="15" t="str">
        <f aca="false">IF(J56="","",IF(J71=D56,0,I116-(G56-J56)))</f>
        <v/>
      </c>
      <c r="K116" s="15" t="str">
        <f aca="false">IF(K56="","",IF(K71=D56,0,J116-(G56-K56)))</f>
        <v/>
      </c>
      <c r="L116" s="15" t="str">
        <f aca="false">IF(L56="","",IF(L71=D56,0,K116-(G56-L56)))</f>
        <v/>
      </c>
      <c r="M116" s="15" t="str">
        <f aca="false">IF(M56="","",IF(M71=D56,0,L116-(G56-M56)))</f>
        <v/>
      </c>
      <c r="N116" s="15" t="str">
        <f aca="false">IF(N56="","",IF(N71=D56,0,M116-(G56-N56)))</f>
        <v/>
      </c>
      <c r="O116" s="15" t="str">
        <f aca="false">IF(O56="","",IF(O71=D56,0,N116-(G56-O56)))</f>
        <v/>
      </c>
      <c r="P116" s="15" t="str">
        <f aca="false">IF(P56="","",IF(P71=D56,0,O116-(G56-P56)))</f>
        <v/>
      </c>
      <c r="Q116" s="15" t="str">
        <f aca="false">IF(Q56="","",IF(Q71=D56,0,P116-(G56-Q56)))</f>
        <v/>
      </c>
      <c r="R116" s="15" t="str">
        <f aca="false">IF(R56="","",IF(R71=D56,0,Q116-(G56-R56)))</f>
        <v/>
      </c>
      <c r="S116" s="15" t="str">
        <f aca="false">IF(S56="","",IF(S71=D56,0,R116-(G56-S56)))</f>
        <v/>
      </c>
      <c r="T116" s="15" t="str">
        <f aca="false">IF(T56="","",IF(T71=D56,0,S116-(G56-T56)))</f>
        <v/>
      </c>
      <c r="U116" s="15" t="str">
        <f aca="false">IF(U56="","",IF(U71=D56,0,T116-(G56-U56)))</f>
        <v/>
      </c>
      <c r="V116" s="15" t="str">
        <f aca="false">IF(V56="","",IF(V71=D56,0,U116-(G56-V56)))</f>
        <v/>
      </c>
      <c r="W116" s="15" t="str">
        <f aca="false">IF(W56="","",IF(W71=D56,0,V116-(G56-W56)))</f>
        <v/>
      </c>
      <c r="X116" s="15" t="str">
        <f aca="false">IF(X56="","",IF(X71=D56,0,W116-(G56-X56)))</f>
        <v/>
      </c>
      <c r="Y116" s="15" t="str">
        <f aca="false">IF(Y56="","",IF(Y71=D56,0,X116-(G56-Y56)))</f>
        <v/>
      </c>
      <c r="Z116" s="15" t="str">
        <f aca="false">IF(Z56="","",IF(Z71=D56,0,Y116-(G56-Z56)))</f>
        <v/>
      </c>
      <c r="AA116" s="15" t="str">
        <f aca="false">IF(AA56="","",IF(AA71=D56,0,Z116-(G56-AA56)))</f>
        <v/>
      </c>
      <c r="AB116" s="15" t="str">
        <f aca="false">IF(AB56="","",IF(AB71=D56,0,AA116-(G56-AB56)))</f>
        <v/>
      </c>
      <c r="AC116" s="15" t="str">
        <f aca="false">IF(AC56="","",IF(AC71=D56,0,AB116-(G56-AC56)))</f>
        <v/>
      </c>
      <c r="AD116" s="15" t="str">
        <f aca="false">IF(AD56="","",IF(AD71=D56,0,AC116-(G56-AD56)))</f>
        <v/>
      </c>
      <c r="AE116" s="15" t="str">
        <f aca="false">IF(AE56="","",IF(AE71=D56,0,AD116-(G56-AE56)))</f>
        <v/>
      </c>
      <c r="AF116" s="15" t="str">
        <f aca="false">IF(AF56="","",IF(AF71=D56,0,AE116-(G56-AF56)))</f>
        <v/>
      </c>
      <c r="AG116" s="15" t="str">
        <f aca="false">IF(AG56="","",IF(AG71=D56,0,AF116-(G56-AG56)))</f>
        <v/>
      </c>
      <c r="AH116" s="15" t="str">
        <f aca="false">IF(AH56="","",IF(AH71=D56,0,AG116-(G56-AH56)))</f>
        <v/>
      </c>
      <c r="AI116" s="15" t="str">
        <f aca="false">IF(AI56="","",IF(AI71=D56,0,AH116-(G56-AI56)))</f>
        <v/>
      </c>
      <c r="AJ116" s="15" t="str">
        <f aca="false">IF(AJ56="","",IF(AJ71=D56,0,AI116-(G56-AJ56)))</f>
        <v/>
      </c>
      <c r="AK116" s="15" t="str">
        <f aca="false">IF(AK56="","",IF(AK71=D56,0,AJ116-(G56-AK56)))</f>
        <v/>
      </c>
      <c r="AL116" s="15" t="str">
        <f aca="false">IF(AL56="","",IF(AL71=D56,0,AK116-(G56-AL56)))</f>
        <v/>
      </c>
      <c r="AM116" s="15" t="str">
        <f aca="false">IF(AM56="","",IF(AM71=D56,0,AL116-(G56-AM56)))</f>
        <v/>
      </c>
      <c r="AN116" s="15" t="str">
        <f aca="false">IF(AN56="","",IF(AN71=D56,0,AM116-(G56-AN56)))</f>
        <v/>
      </c>
      <c r="AO116" s="15" t="str">
        <f aca="false">IF(AO56="","",IF(AO71=D56,0,AN116-(G56-AO56)))</f>
        <v/>
      </c>
      <c r="AP116" s="15" t="str">
        <f aca="false">IF(AP56="","",IF(AP71=D56,0,AO116-(G56-AP56)))</f>
        <v/>
      </c>
      <c r="AQ116" s="15" t="str">
        <f aca="false">IF(AQ56="","",IF(AQ71=D56,0,AP116-(G56-AQ56)))</f>
        <v/>
      </c>
      <c r="AR116" s="15" t="str">
        <f aca="false">IF(AR56="","",IF(AR71=D56,0,AQ116-(G56-AR56)))</f>
        <v/>
      </c>
      <c r="AS116" s="15" t="str">
        <f aca="false">IF(AS56="","",IF(AS71=D56,0,AR116-(G56-AS56)))</f>
        <v/>
      </c>
      <c r="AT116" s="15" t="str">
        <f aca="false">IF(AT56="","",IF(AT71=D56,0,AS116-(G56-AT56)))</f>
        <v/>
      </c>
      <c r="AU116" s="15" t="str">
        <f aca="false">IF(AU56="","",IF(AU71=D56,0,AT116-(G56-AU56)))</f>
        <v/>
      </c>
      <c r="AV116" s="15" t="str">
        <f aca="false">IF(AV56="","",IF(AV71=D56,0,AU116-(G56-AV56)))</f>
        <v/>
      </c>
      <c r="AW116" s="15" t="str">
        <f aca="false">IF(AW56="","",IF(AW71=D56,0,AV116-(G56-AW56)))</f>
        <v/>
      </c>
      <c r="AX116" s="15" t="str">
        <f aca="false">IF(AX56="","",IF(AX71=D56,0,AW116-(G56-AX56)))</f>
        <v/>
      </c>
      <c r="AY116" s="15" t="str">
        <f aca="false">IF(AY56="","",IF(AY71=D56,0,AX116-(G56-AY56)))</f>
        <v/>
      </c>
      <c r="AZ116" s="15" t="str">
        <f aca="false">IF(AZ56="","",IF(AZ71=D56,0,AY116-(G56-AZ56)))</f>
        <v/>
      </c>
      <c r="BA116" s="15" t="str">
        <f aca="false">IF(BA56="","",IF(BA71=D56,0,AZ116-(G56-BA56)))</f>
        <v/>
      </c>
      <c r="BB116" s="15" t="str">
        <f aca="false">IF(BB56="","",IF(BB71=D56,0,BA116-(G56-BB56)))</f>
        <v/>
      </c>
      <c r="BC116" s="15" t="str">
        <f aca="false">IF(BC56="","",IF(BC71=D56,0,BB116-(G56-BC56)))</f>
        <v/>
      </c>
      <c r="BD116" s="15" t="str">
        <f aca="false">IF(BD56="","",IF(BD71=D56,0,BC116-(G56-BD56)))</f>
        <v/>
      </c>
      <c r="BE116" s="15" t="str">
        <f aca="false">IF(BE56="","",IF(BE71=D56,0,BD116-(G56-BE56)))</f>
        <v/>
      </c>
      <c r="BF116" s="15" t="str">
        <f aca="false">IF(BF56="","",IF(BF71=D56,0,BE116-(G56-BF56)))</f>
        <v/>
      </c>
      <c r="BG116" s="15" t="str">
        <f aca="false">IF(BG56="","",IF(BG71=D56,0,BF116-(G56-BG56)))</f>
        <v/>
      </c>
      <c r="BH116" s="15" t="str">
        <f aca="false">IF(BH56="","",IF(BH71=D56,0,BG116-(G56-BH56)))</f>
        <v/>
      </c>
      <c r="BI116" s="15" t="str">
        <f aca="false">IF(BI56="","",IF(BI71=D56,0,BH116-(G56-BI56)))</f>
        <v/>
      </c>
      <c r="BJ116" s="15" t="str">
        <f aca="false">IF(BJ56="","",IF(BJ71=D56,0,BI116-(G56-BJ56)))</f>
        <v/>
      </c>
      <c r="BK116" s="15" t="str">
        <f aca="false">IF(BK56="","",IF(BK71=D56,0,BJ116-(G56-BK56)))</f>
        <v/>
      </c>
      <c r="BL116" s="15" t="str">
        <f aca="false">IF(BL56="","",IF(BL71=D56,0,BK116-(G56-BL56)))</f>
        <v/>
      </c>
      <c r="BM116" s="15" t="str">
        <f aca="false">IF(BM56="","",IF(BM71=D56,0,BL116-(G56-BM56)))</f>
        <v/>
      </c>
      <c r="BN116" s="15" t="str">
        <f aca="false">IF(BN56="","",IF(BN71=D56,0,BM116-(G56-BN56)))</f>
        <v/>
      </c>
      <c r="BO116" s="15" t="str">
        <f aca="false">IF(BO56="","",IF(BO71=D56,0,BN116-(G56-BO56)))</f>
        <v/>
      </c>
      <c r="BP116" s="15" t="str">
        <f aca="false">IF(BP56="","",IF(BP71=D56,0,BO116-(G56-BP56)))</f>
        <v/>
      </c>
    </row>
    <row r="117" customFormat="false" ht="15" hidden="false" customHeight="false" outlineLevel="0" collapsed="false">
      <c r="A117" s="29" t="str">
        <f aca="false">A57</f>
        <v/>
      </c>
      <c r="B117" s="29" t="str">
        <f aca="false">B57</f>
        <v/>
      </c>
      <c r="C117" s="29" t="str">
        <f aca="false">C57</f>
        <v/>
      </c>
      <c r="D117" s="16" t="str">
        <f aca="false">D57</f>
        <v/>
      </c>
      <c r="E117" s="17" t="str">
        <f aca="false">E57</f>
        <v/>
      </c>
      <c r="F117" s="15" t="str">
        <f aca="false">F57</f>
        <v/>
      </c>
      <c r="G117" s="15" t="str">
        <f aca="false">G57</f>
        <v/>
      </c>
      <c r="I117" s="15" t="str">
        <f aca="false">IF(I57="","",IF(I71=D57,0,F57-(G57-I57)))</f>
        <v/>
      </c>
      <c r="J117" s="15" t="str">
        <f aca="false">IF(J57="","",IF(J71=D57,0,I117-(G57-J57)))</f>
        <v/>
      </c>
      <c r="K117" s="15" t="str">
        <f aca="false">IF(K57="","",IF(K71=D57,0,J117-(G57-K57)))</f>
        <v/>
      </c>
      <c r="L117" s="15" t="str">
        <f aca="false">IF(L57="","",IF(L71=D57,0,K117-(G57-L57)))</f>
        <v/>
      </c>
      <c r="M117" s="15" t="str">
        <f aca="false">IF(M57="","",IF(M71=D57,0,L117-(G57-M57)))</f>
        <v/>
      </c>
      <c r="N117" s="15" t="str">
        <f aca="false">IF(N57="","",IF(N71=D57,0,M117-(G57-N57)))</f>
        <v/>
      </c>
      <c r="O117" s="15" t="str">
        <f aca="false">IF(O57="","",IF(O71=D57,0,N117-(G57-O57)))</f>
        <v/>
      </c>
      <c r="P117" s="15" t="str">
        <f aca="false">IF(P57="","",IF(P71=D57,0,O117-(G57-P57)))</f>
        <v/>
      </c>
      <c r="Q117" s="15" t="str">
        <f aca="false">IF(Q57="","",IF(Q71=D57,0,P117-(G57-Q57)))</f>
        <v/>
      </c>
      <c r="R117" s="15" t="str">
        <f aca="false">IF(R57="","",IF(R71=D57,0,Q117-(G57-R57)))</f>
        <v/>
      </c>
      <c r="S117" s="15" t="str">
        <f aca="false">IF(S57="","",IF(S71=D57,0,R117-(G57-S57)))</f>
        <v/>
      </c>
      <c r="T117" s="15" t="str">
        <f aca="false">IF(T57="","",IF(T71=D57,0,S117-(G57-T57)))</f>
        <v/>
      </c>
      <c r="U117" s="15" t="str">
        <f aca="false">IF(U57="","",IF(U71=D57,0,T117-(G57-U57)))</f>
        <v/>
      </c>
      <c r="V117" s="15" t="str">
        <f aca="false">IF(V57="","",IF(V71=D57,0,U117-(G57-V57)))</f>
        <v/>
      </c>
      <c r="W117" s="15" t="str">
        <f aca="false">IF(W57="","",IF(W71=D57,0,V117-(G57-W57)))</f>
        <v/>
      </c>
      <c r="X117" s="15" t="str">
        <f aca="false">IF(X57="","",IF(X71=D57,0,W117-(G57-X57)))</f>
        <v/>
      </c>
      <c r="Y117" s="15" t="str">
        <f aca="false">IF(Y57="","",IF(Y71=D57,0,X117-(G57-Y57)))</f>
        <v/>
      </c>
      <c r="Z117" s="15" t="str">
        <f aca="false">IF(Z57="","",IF(Z71=D57,0,Y117-(G57-Z57)))</f>
        <v/>
      </c>
      <c r="AA117" s="15" t="str">
        <f aca="false">IF(AA57="","",IF(AA71=D57,0,Z117-(G57-AA57)))</f>
        <v/>
      </c>
      <c r="AB117" s="15" t="str">
        <f aca="false">IF(AB57="","",IF(AB71=D57,0,AA117-(G57-AB57)))</f>
        <v/>
      </c>
      <c r="AC117" s="15" t="str">
        <f aca="false">IF(AC57="","",IF(AC71=D57,0,AB117-(G57-AC57)))</f>
        <v/>
      </c>
      <c r="AD117" s="15" t="str">
        <f aca="false">IF(AD57="","",IF(AD71=D57,0,AC117-(G57-AD57)))</f>
        <v/>
      </c>
      <c r="AE117" s="15" t="str">
        <f aca="false">IF(AE57="","",IF(AE71=D57,0,AD117-(G57-AE57)))</f>
        <v/>
      </c>
      <c r="AF117" s="15" t="str">
        <f aca="false">IF(AF57="","",IF(AF71=D57,0,AE117-(G57-AF57)))</f>
        <v/>
      </c>
      <c r="AG117" s="15" t="str">
        <f aca="false">IF(AG57="","",IF(AG71=D57,0,AF117-(G57-AG57)))</f>
        <v/>
      </c>
      <c r="AH117" s="15" t="str">
        <f aca="false">IF(AH57="","",IF(AH71=D57,0,AG117-(G57-AH57)))</f>
        <v/>
      </c>
      <c r="AI117" s="15" t="str">
        <f aca="false">IF(AI57="","",IF(AI71=D57,0,AH117-(G57-AI57)))</f>
        <v/>
      </c>
      <c r="AJ117" s="15" t="str">
        <f aca="false">IF(AJ57="","",IF(AJ71=D57,0,AI117-(G57-AJ57)))</f>
        <v/>
      </c>
      <c r="AK117" s="15" t="str">
        <f aca="false">IF(AK57="","",IF(AK71=D57,0,AJ117-(G57-AK57)))</f>
        <v/>
      </c>
      <c r="AL117" s="15" t="str">
        <f aca="false">IF(AL57="","",IF(AL71=D57,0,AK117-(G57-AL57)))</f>
        <v/>
      </c>
      <c r="AM117" s="15" t="str">
        <f aca="false">IF(AM57="","",IF(AM71=D57,0,AL117-(G57-AM57)))</f>
        <v/>
      </c>
      <c r="AN117" s="15" t="str">
        <f aca="false">IF(AN57="","",IF(AN71=D57,0,AM117-(G57-AN57)))</f>
        <v/>
      </c>
      <c r="AO117" s="15" t="str">
        <f aca="false">IF(AO57="","",IF(AO71=D57,0,AN117-(G57-AO57)))</f>
        <v/>
      </c>
      <c r="AP117" s="15" t="str">
        <f aca="false">IF(AP57="","",IF(AP71=D57,0,AO117-(G57-AP57)))</f>
        <v/>
      </c>
      <c r="AQ117" s="15" t="str">
        <f aca="false">IF(AQ57="","",IF(AQ71=D57,0,AP117-(G57-AQ57)))</f>
        <v/>
      </c>
      <c r="AR117" s="15" t="str">
        <f aca="false">IF(AR57="","",IF(AR71=D57,0,AQ117-(G57-AR57)))</f>
        <v/>
      </c>
      <c r="AS117" s="15" t="str">
        <f aca="false">IF(AS57="","",IF(AS71=D57,0,AR117-(G57-AS57)))</f>
        <v/>
      </c>
      <c r="AT117" s="15" t="str">
        <f aca="false">IF(AT57="","",IF(AT71=D57,0,AS117-(G57-AT57)))</f>
        <v/>
      </c>
      <c r="AU117" s="15" t="str">
        <f aca="false">IF(AU57="","",IF(AU71=D57,0,AT117-(G57-AU57)))</f>
        <v/>
      </c>
      <c r="AV117" s="15" t="str">
        <f aca="false">IF(AV57="","",IF(AV71=D57,0,AU117-(G57-AV57)))</f>
        <v/>
      </c>
      <c r="AW117" s="15" t="str">
        <f aca="false">IF(AW57="","",IF(AW71=D57,0,AV117-(G57-AW57)))</f>
        <v/>
      </c>
      <c r="AX117" s="15" t="str">
        <f aca="false">IF(AX57="","",IF(AX71=D57,0,AW117-(G57-AX57)))</f>
        <v/>
      </c>
      <c r="AY117" s="15" t="str">
        <f aca="false">IF(AY57="","",IF(AY71=D57,0,AX117-(G57-AY57)))</f>
        <v/>
      </c>
      <c r="AZ117" s="15" t="str">
        <f aca="false">IF(AZ57="","",IF(AZ71=D57,0,AY117-(G57-AZ57)))</f>
        <v/>
      </c>
      <c r="BA117" s="15" t="str">
        <f aca="false">IF(BA57="","",IF(BA71=D57,0,AZ117-(G57-BA57)))</f>
        <v/>
      </c>
      <c r="BB117" s="15" t="str">
        <f aca="false">IF(BB57="","",IF(BB71=D57,0,BA117-(G57-BB57)))</f>
        <v/>
      </c>
      <c r="BC117" s="15" t="str">
        <f aca="false">IF(BC57="","",IF(BC71=D57,0,BB117-(G57-BC57)))</f>
        <v/>
      </c>
      <c r="BD117" s="15" t="str">
        <f aca="false">IF(BD57="","",IF(BD71=D57,0,BC117-(G57-BD57)))</f>
        <v/>
      </c>
      <c r="BE117" s="15" t="str">
        <f aca="false">IF(BE57="","",IF(BE71=D57,0,BD117-(G57-BE57)))</f>
        <v/>
      </c>
      <c r="BF117" s="15" t="str">
        <f aca="false">IF(BF57="","",IF(BF71=D57,0,BE117-(G57-BF57)))</f>
        <v/>
      </c>
      <c r="BG117" s="15" t="str">
        <f aca="false">IF(BG57="","",IF(BG71=D57,0,BF117-(G57-BG57)))</f>
        <v/>
      </c>
      <c r="BH117" s="15" t="str">
        <f aca="false">IF(BH57="","",IF(BH71=D57,0,BG117-(G57-BH57)))</f>
        <v/>
      </c>
      <c r="BI117" s="15" t="str">
        <f aca="false">IF(BI57="","",IF(BI71=D57,0,BH117-(G57-BI57)))</f>
        <v/>
      </c>
      <c r="BJ117" s="15" t="str">
        <f aca="false">IF(BJ57="","",IF(BJ71=D57,0,BI117-(G57-BJ57)))</f>
        <v/>
      </c>
      <c r="BK117" s="15" t="str">
        <f aca="false">IF(BK57="","",IF(BK71=D57,0,BJ117-(G57-BK57)))</f>
        <v/>
      </c>
      <c r="BL117" s="15" t="str">
        <f aca="false">IF(BL57="","",IF(BL71=D57,0,BK117-(G57-BL57)))</f>
        <v/>
      </c>
      <c r="BM117" s="15" t="str">
        <f aca="false">IF(BM57="","",IF(BM71=D57,0,BL117-(G57-BM57)))</f>
        <v/>
      </c>
      <c r="BN117" s="15" t="str">
        <f aca="false">IF(BN57="","",IF(BN71=D57,0,BM117-(G57-BN57)))</f>
        <v/>
      </c>
      <c r="BO117" s="15" t="str">
        <f aca="false">IF(BO57="","",IF(BO71=D57,0,BN117-(G57-BO57)))</f>
        <v/>
      </c>
      <c r="BP117" s="15" t="str">
        <f aca="false">IF(BP57="","",IF(BP71=D57,0,BO117-(G57-BP57)))</f>
        <v/>
      </c>
    </row>
    <row r="118" customFormat="false" ht="15" hidden="false" customHeight="false" outlineLevel="0" collapsed="false">
      <c r="A118" s="29" t="str">
        <f aca="false">A58</f>
        <v/>
      </c>
      <c r="B118" s="29" t="str">
        <f aca="false">B58</f>
        <v/>
      </c>
      <c r="C118" s="29" t="str">
        <f aca="false">C58</f>
        <v/>
      </c>
      <c r="D118" s="16" t="str">
        <f aca="false">D58</f>
        <v/>
      </c>
      <c r="E118" s="17" t="str">
        <f aca="false">E58</f>
        <v/>
      </c>
      <c r="F118" s="15" t="str">
        <f aca="false">F58</f>
        <v/>
      </c>
      <c r="G118" s="15" t="str">
        <f aca="false">G58</f>
        <v/>
      </c>
      <c r="I118" s="15" t="str">
        <f aca="false">IF(I58="","",IF(I71=D58,0,F58-(G58-I58)))</f>
        <v/>
      </c>
      <c r="J118" s="15" t="str">
        <f aca="false">IF(J58="","",IF(J71=D58,0,I118-(G58-J58)))</f>
        <v/>
      </c>
      <c r="K118" s="15" t="str">
        <f aca="false">IF(K58="","",IF(K71=D58,0,J118-(G58-K58)))</f>
        <v/>
      </c>
      <c r="L118" s="15" t="str">
        <f aca="false">IF(L58="","",IF(L71=D58,0,K118-(G58-L58)))</f>
        <v/>
      </c>
      <c r="M118" s="15" t="str">
        <f aca="false">IF(M58="","",IF(M71=D58,0,L118-(G58-M58)))</f>
        <v/>
      </c>
      <c r="N118" s="15" t="str">
        <f aca="false">IF(N58="","",IF(N71=D58,0,M118-(G58-N58)))</f>
        <v/>
      </c>
      <c r="O118" s="15" t="str">
        <f aca="false">IF(O58="","",IF(O71=D58,0,N118-(G58-O58)))</f>
        <v/>
      </c>
      <c r="P118" s="15" t="str">
        <f aca="false">IF(P58="","",IF(P71=D58,0,O118-(G58-P58)))</f>
        <v/>
      </c>
      <c r="Q118" s="15" t="str">
        <f aca="false">IF(Q58="","",IF(Q71=D58,0,P118-(G58-Q58)))</f>
        <v/>
      </c>
      <c r="R118" s="15" t="str">
        <f aca="false">IF(R58="","",IF(R71=D58,0,Q118-(G58-R58)))</f>
        <v/>
      </c>
      <c r="S118" s="15" t="str">
        <f aca="false">IF(S58="","",IF(S71=D58,0,R118-(G58-S58)))</f>
        <v/>
      </c>
      <c r="T118" s="15" t="str">
        <f aca="false">IF(T58="","",IF(T71=D58,0,S118-(G58-T58)))</f>
        <v/>
      </c>
      <c r="U118" s="15" t="str">
        <f aca="false">IF(U58="","",IF(U71=D58,0,T118-(G58-U58)))</f>
        <v/>
      </c>
      <c r="V118" s="15" t="str">
        <f aca="false">IF(V58="","",IF(V71=D58,0,U118-(G58-V58)))</f>
        <v/>
      </c>
      <c r="W118" s="15" t="str">
        <f aca="false">IF(W58="","",IF(W71=D58,0,V118-(G58-W58)))</f>
        <v/>
      </c>
      <c r="X118" s="15" t="str">
        <f aca="false">IF(X58="","",IF(X71=D58,0,W118-(G58-X58)))</f>
        <v/>
      </c>
      <c r="Y118" s="15" t="str">
        <f aca="false">IF(Y58="","",IF(Y71=D58,0,X118-(G58-Y58)))</f>
        <v/>
      </c>
      <c r="Z118" s="15" t="str">
        <f aca="false">IF(Z58="","",IF(Z71=D58,0,Y118-(G58-Z58)))</f>
        <v/>
      </c>
      <c r="AA118" s="15" t="str">
        <f aca="false">IF(AA58="","",IF(AA71=D58,0,Z118-(G58-AA58)))</f>
        <v/>
      </c>
      <c r="AB118" s="15" t="str">
        <f aca="false">IF(AB58="","",IF(AB71=D58,0,AA118-(G58-AB58)))</f>
        <v/>
      </c>
      <c r="AC118" s="15" t="str">
        <f aca="false">IF(AC58="","",IF(AC71=D58,0,AB118-(G58-AC58)))</f>
        <v/>
      </c>
      <c r="AD118" s="15" t="str">
        <f aca="false">IF(AD58="","",IF(AD71=D58,0,AC118-(G58-AD58)))</f>
        <v/>
      </c>
      <c r="AE118" s="15" t="str">
        <f aca="false">IF(AE58="","",IF(AE71=D58,0,AD118-(G58-AE58)))</f>
        <v/>
      </c>
      <c r="AF118" s="15" t="str">
        <f aca="false">IF(AF58="","",IF(AF71=D58,0,AE118-(G58-AF58)))</f>
        <v/>
      </c>
      <c r="AG118" s="15" t="str">
        <f aca="false">IF(AG58="","",IF(AG71=D58,0,AF118-(G58-AG58)))</f>
        <v/>
      </c>
      <c r="AH118" s="15" t="str">
        <f aca="false">IF(AH58="","",IF(AH71=D58,0,AG118-(G58-AH58)))</f>
        <v/>
      </c>
      <c r="AI118" s="15" t="str">
        <f aca="false">IF(AI58="","",IF(AI71=D58,0,AH118-(G58-AI58)))</f>
        <v/>
      </c>
      <c r="AJ118" s="15" t="str">
        <f aca="false">IF(AJ58="","",IF(AJ71=D58,0,AI118-(G58-AJ58)))</f>
        <v/>
      </c>
      <c r="AK118" s="15" t="str">
        <f aca="false">IF(AK58="","",IF(AK71=D58,0,AJ118-(G58-AK58)))</f>
        <v/>
      </c>
      <c r="AL118" s="15" t="str">
        <f aca="false">IF(AL58="","",IF(AL71=D58,0,AK118-(G58-AL58)))</f>
        <v/>
      </c>
      <c r="AM118" s="15" t="str">
        <f aca="false">IF(AM58="","",IF(AM71=D58,0,AL118-(G58-AM58)))</f>
        <v/>
      </c>
      <c r="AN118" s="15" t="str">
        <f aca="false">IF(AN58="","",IF(AN71=D58,0,AM118-(G58-AN58)))</f>
        <v/>
      </c>
      <c r="AO118" s="15" t="str">
        <f aca="false">IF(AO58="","",IF(AO71=D58,0,AN118-(G58-AO58)))</f>
        <v/>
      </c>
      <c r="AP118" s="15" t="str">
        <f aca="false">IF(AP58="","",IF(AP71=D58,0,AO118-(G58-AP58)))</f>
        <v/>
      </c>
      <c r="AQ118" s="15" t="str">
        <f aca="false">IF(AQ58="","",IF(AQ71=D58,0,AP118-(G58-AQ58)))</f>
        <v/>
      </c>
      <c r="AR118" s="15" t="str">
        <f aca="false">IF(AR58="","",IF(AR71=D58,0,AQ118-(G58-AR58)))</f>
        <v/>
      </c>
      <c r="AS118" s="15" t="str">
        <f aca="false">IF(AS58="","",IF(AS71=D58,0,AR118-(G58-AS58)))</f>
        <v/>
      </c>
      <c r="AT118" s="15" t="str">
        <f aca="false">IF(AT58="","",IF(AT71=D58,0,AS118-(G58-AT58)))</f>
        <v/>
      </c>
      <c r="AU118" s="15" t="str">
        <f aca="false">IF(AU58="","",IF(AU71=D58,0,AT118-(G58-AU58)))</f>
        <v/>
      </c>
      <c r="AV118" s="15" t="str">
        <f aca="false">IF(AV58="","",IF(AV71=D58,0,AU118-(G58-AV58)))</f>
        <v/>
      </c>
      <c r="AW118" s="15" t="str">
        <f aca="false">IF(AW58="","",IF(AW71=D58,0,AV118-(G58-AW58)))</f>
        <v/>
      </c>
      <c r="AX118" s="15" t="str">
        <f aca="false">IF(AX58="","",IF(AX71=D58,0,AW118-(G58-AX58)))</f>
        <v/>
      </c>
      <c r="AY118" s="15" t="str">
        <f aca="false">IF(AY58="","",IF(AY71=D58,0,AX118-(G58-AY58)))</f>
        <v/>
      </c>
      <c r="AZ118" s="15" t="str">
        <f aca="false">IF(AZ58="","",IF(AZ71=D58,0,AY118-(G58-AZ58)))</f>
        <v/>
      </c>
      <c r="BA118" s="15" t="str">
        <f aca="false">IF(BA58="","",IF(BA71=D58,0,AZ118-(G58-BA58)))</f>
        <v/>
      </c>
      <c r="BB118" s="15" t="str">
        <f aca="false">IF(BB58="","",IF(BB71=D58,0,BA118-(G58-BB58)))</f>
        <v/>
      </c>
      <c r="BC118" s="15" t="str">
        <f aca="false">IF(BC58="","",IF(BC71=D58,0,BB118-(G58-BC58)))</f>
        <v/>
      </c>
      <c r="BD118" s="15" t="str">
        <f aca="false">IF(BD58="","",IF(BD71=D58,0,BC118-(G58-BD58)))</f>
        <v/>
      </c>
      <c r="BE118" s="15" t="str">
        <f aca="false">IF(BE58="","",IF(BE71=D58,0,BD118-(G58-BE58)))</f>
        <v/>
      </c>
      <c r="BF118" s="15" t="str">
        <f aca="false">IF(BF58="","",IF(BF71=D58,0,BE118-(G58-BF58)))</f>
        <v/>
      </c>
      <c r="BG118" s="15" t="str">
        <f aca="false">IF(BG58="","",IF(BG71=D58,0,BF118-(G58-BG58)))</f>
        <v/>
      </c>
      <c r="BH118" s="15" t="str">
        <f aca="false">IF(BH58="","",IF(BH71=D58,0,BG118-(G58-BH58)))</f>
        <v/>
      </c>
      <c r="BI118" s="15" t="str">
        <f aca="false">IF(BI58="","",IF(BI71=D58,0,BH118-(G58-BI58)))</f>
        <v/>
      </c>
      <c r="BJ118" s="15" t="str">
        <f aca="false">IF(BJ58="","",IF(BJ71=D58,0,BI118-(G58-BJ58)))</f>
        <v/>
      </c>
      <c r="BK118" s="15" t="str">
        <f aca="false">IF(BK58="","",IF(BK71=D58,0,BJ118-(G58-BK58)))</f>
        <v/>
      </c>
      <c r="BL118" s="15" t="str">
        <f aca="false">IF(BL58="","",IF(BL71=D58,0,BK118-(G58-BL58)))</f>
        <v/>
      </c>
      <c r="BM118" s="15" t="str">
        <f aca="false">IF(BM58="","",IF(BM71=D58,0,BL118-(G58-BM58)))</f>
        <v/>
      </c>
      <c r="BN118" s="15" t="str">
        <f aca="false">IF(BN58="","",IF(BN71=D58,0,BM118-(G58-BN58)))</f>
        <v/>
      </c>
      <c r="BO118" s="15" t="str">
        <f aca="false">IF(BO58="","",IF(BO71=D58,0,BN118-(G58-BO58)))</f>
        <v/>
      </c>
      <c r="BP118" s="15" t="str">
        <f aca="false">IF(BP58="","",IF(BP71=D58,0,BO118-(G58-BP58)))</f>
        <v/>
      </c>
    </row>
    <row r="119" customFormat="false" ht="15" hidden="false" customHeight="false" outlineLevel="0" collapsed="false">
      <c r="A119" s="29" t="str">
        <f aca="false">A59</f>
        <v/>
      </c>
      <c r="B119" s="29" t="str">
        <f aca="false">B59</f>
        <v/>
      </c>
      <c r="C119" s="29" t="str">
        <f aca="false">C59</f>
        <v/>
      </c>
      <c r="D119" s="16" t="str">
        <f aca="false">D59</f>
        <v/>
      </c>
      <c r="E119" s="17" t="str">
        <f aca="false">E59</f>
        <v/>
      </c>
      <c r="F119" s="15" t="str">
        <f aca="false">F59</f>
        <v/>
      </c>
      <c r="G119" s="15" t="str">
        <f aca="false">G59</f>
        <v/>
      </c>
      <c r="I119" s="15" t="str">
        <f aca="false">IF(I59="","",IF(I71=D59,0,F59-(G59-I59)))</f>
        <v/>
      </c>
      <c r="J119" s="15" t="str">
        <f aca="false">IF(J59="","",IF(J71=D59,0,I119-(G59-J59)))</f>
        <v/>
      </c>
      <c r="K119" s="15" t="str">
        <f aca="false">IF(K59="","",IF(K71=D59,0,J119-(G59-K59)))</f>
        <v/>
      </c>
      <c r="L119" s="15" t="str">
        <f aca="false">IF(L59="","",IF(L71=D59,0,K119-(G59-L59)))</f>
        <v/>
      </c>
      <c r="M119" s="15" t="str">
        <f aca="false">IF(M59="","",IF(M71=D59,0,L119-(G59-M59)))</f>
        <v/>
      </c>
      <c r="N119" s="15" t="str">
        <f aca="false">IF(N59="","",IF(N71=D59,0,M119-(G59-N59)))</f>
        <v/>
      </c>
      <c r="O119" s="15" t="str">
        <f aca="false">IF(O59="","",IF(O71=D59,0,N119-(G59-O59)))</f>
        <v/>
      </c>
      <c r="P119" s="15" t="str">
        <f aca="false">IF(P59="","",IF(P71=D59,0,O119-(G59-P59)))</f>
        <v/>
      </c>
      <c r="Q119" s="15" t="str">
        <f aca="false">IF(Q59="","",IF(Q71=D59,0,P119-(G59-Q59)))</f>
        <v/>
      </c>
      <c r="R119" s="15" t="str">
        <f aca="false">IF(R59="","",IF(R71=D59,0,Q119-(G59-R59)))</f>
        <v/>
      </c>
      <c r="S119" s="15" t="str">
        <f aca="false">IF(S59="","",IF(S71=D59,0,R119-(G59-S59)))</f>
        <v/>
      </c>
      <c r="T119" s="15" t="str">
        <f aca="false">IF(T59="","",IF(T71=D59,0,S119-(G59-T59)))</f>
        <v/>
      </c>
      <c r="U119" s="15" t="str">
        <f aca="false">IF(U59="","",IF(U71=D59,0,T119-(G59-U59)))</f>
        <v/>
      </c>
      <c r="V119" s="15" t="str">
        <f aca="false">IF(V59="","",IF(V71=D59,0,U119-(G59-V59)))</f>
        <v/>
      </c>
      <c r="W119" s="15" t="str">
        <f aca="false">IF(W59="","",IF(W71=D59,0,V119-(G59-W59)))</f>
        <v/>
      </c>
      <c r="X119" s="15" t="str">
        <f aca="false">IF(X59="","",IF(X71=D59,0,W119-(G59-X59)))</f>
        <v/>
      </c>
      <c r="Y119" s="15" t="str">
        <f aca="false">IF(Y59="","",IF(Y71=D59,0,X119-(G59-Y59)))</f>
        <v/>
      </c>
      <c r="Z119" s="15" t="str">
        <f aca="false">IF(Z59="","",IF(Z71=D59,0,Y119-(G59-Z59)))</f>
        <v/>
      </c>
      <c r="AA119" s="15" t="str">
        <f aca="false">IF(AA59="","",IF(AA71=D59,0,Z119-(G59-AA59)))</f>
        <v/>
      </c>
      <c r="AB119" s="15" t="str">
        <f aca="false">IF(AB59="","",IF(AB71=D59,0,AA119-(G59-AB59)))</f>
        <v/>
      </c>
      <c r="AC119" s="15" t="str">
        <f aca="false">IF(AC59="","",IF(AC71=D59,0,AB119-(G59-AC59)))</f>
        <v/>
      </c>
      <c r="AD119" s="15" t="str">
        <f aca="false">IF(AD59="","",IF(AD71=D59,0,AC119-(G59-AD59)))</f>
        <v/>
      </c>
      <c r="AE119" s="15" t="str">
        <f aca="false">IF(AE59="","",IF(AE71=D59,0,AD119-(G59-AE59)))</f>
        <v/>
      </c>
      <c r="AF119" s="15" t="str">
        <f aca="false">IF(AF59="","",IF(AF71=D59,0,AE119-(G59-AF59)))</f>
        <v/>
      </c>
      <c r="AG119" s="15" t="str">
        <f aca="false">IF(AG59="","",IF(AG71=D59,0,AF119-(G59-AG59)))</f>
        <v/>
      </c>
      <c r="AH119" s="15" t="str">
        <f aca="false">IF(AH59="","",IF(AH71=D59,0,AG119-(G59-AH59)))</f>
        <v/>
      </c>
      <c r="AI119" s="15" t="str">
        <f aca="false">IF(AI59="","",IF(AI71=D59,0,AH119-(G59-AI59)))</f>
        <v/>
      </c>
      <c r="AJ119" s="15" t="str">
        <f aca="false">IF(AJ59="","",IF(AJ71=D59,0,AI119-(G59-AJ59)))</f>
        <v/>
      </c>
      <c r="AK119" s="15" t="str">
        <f aca="false">IF(AK59="","",IF(AK71=D59,0,AJ119-(G59-AK59)))</f>
        <v/>
      </c>
      <c r="AL119" s="15" t="str">
        <f aca="false">IF(AL59="","",IF(AL71=D59,0,AK119-(G59-AL59)))</f>
        <v/>
      </c>
      <c r="AM119" s="15" t="str">
        <f aca="false">IF(AM59="","",IF(AM71=D59,0,AL119-(G59-AM59)))</f>
        <v/>
      </c>
      <c r="AN119" s="15" t="str">
        <f aca="false">IF(AN59="","",IF(AN71=D59,0,AM119-(G59-AN59)))</f>
        <v/>
      </c>
      <c r="AO119" s="15" t="str">
        <f aca="false">IF(AO59="","",IF(AO71=D59,0,AN119-(G59-AO59)))</f>
        <v/>
      </c>
      <c r="AP119" s="15" t="str">
        <f aca="false">IF(AP59="","",IF(AP71=D59,0,AO119-(G59-AP59)))</f>
        <v/>
      </c>
      <c r="AQ119" s="15" t="str">
        <f aca="false">IF(AQ59="","",IF(AQ71=D59,0,AP119-(G59-AQ59)))</f>
        <v/>
      </c>
      <c r="AR119" s="15" t="str">
        <f aca="false">IF(AR59="","",IF(AR71=D59,0,AQ119-(G59-AR59)))</f>
        <v/>
      </c>
      <c r="AS119" s="15" t="str">
        <f aca="false">IF(AS59="","",IF(AS71=D59,0,AR119-(G59-AS59)))</f>
        <v/>
      </c>
      <c r="AT119" s="15" t="str">
        <f aca="false">IF(AT59="","",IF(AT71=D59,0,AS119-(G59-AT59)))</f>
        <v/>
      </c>
      <c r="AU119" s="15" t="str">
        <f aca="false">IF(AU59="","",IF(AU71=D59,0,AT119-(G59-AU59)))</f>
        <v/>
      </c>
      <c r="AV119" s="15" t="str">
        <f aca="false">IF(AV59="","",IF(AV71=D59,0,AU119-(G59-AV59)))</f>
        <v/>
      </c>
      <c r="AW119" s="15" t="str">
        <f aca="false">IF(AW59="","",IF(AW71=D59,0,AV119-(G59-AW59)))</f>
        <v/>
      </c>
      <c r="AX119" s="15" t="str">
        <f aca="false">IF(AX59="","",IF(AX71=D59,0,AW119-(G59-AX59)))</f>
        <v/>
      </c>
      <c r="AY119" s="15" t="str">
        <f aca="false">IF(AY59="","",IF(AY71=D59,0,AX119-(G59-AY59)))</f>
        <v/>
      </c>
      <c r="AZ119" s="15" t="str">
        <f aca="false">IF(AZ59="","",IF(AZ71=D59,0,AY119-(G59-AZ59)))</f>
        <v/>
      </c>
      <c r="BA119" s="15" t="str">
        <f aca="false">IF(BA59="","",IF(BA71=D59,0,AZ119-(G59-BA59)))</f>
        <v/>
      </c>
      <c r="BB119" s="15" t="str">
        <f aca="false">IF(BB59="","",IF(BB71=D59,0,BA119-(G59-BB59)))</f>
        <v/>
      </c>
      <c r="BC119" s="15" t="str">
        <f aca="false">IF(BC59="","",IF(BC71=D59,0,BB119-(G59-BC59)))</f>
        <v/>
      </c>
      <c r="BD119" s="15" t="str">
        <f aca="false">IF(BD59="","",IF(BD71=D59,0,BC119-(G59-BD59)))</f>
        <v/>
      </c>
      <c r="BE119" s="15" t="str">
        <f aca="false">IF(BE59="","",IF(BE71=D59,0,BD119-(G59-BE59)))</f>
        <v/>
      </c>
      <c r="BF119" s="15" t="str">
        <f aca="false">IF(BF59="","",IF(BF71=D59,0,BE119-(G59-BF59)))</f>
        <v/>
      </c>
      <c r="BG119" s="15" t="str">
        <f aca="false">IF(BG59="","",IF(BG71=D59,0,BF119-(G59-BG59)))</f>
        <v/>
      </c>
      <c r="BH119" s="15" t="str">
        <f aca="false">IF(BH59="","",IF(BH71=D59,0,BG119-(G59-BH59)))</f>
        <v/>
      </c>
      <c r="BI119" s="15" t="str">
        <f aca="false">IF(BI59="","",IF(BI71=D59,0,BH119-(G59-BI59)))</f>
        <v/>
      </c>
      <c r="BJ119" s="15" t="str">
        <f aca="false">IF(BJ59="","",IF(BJ71=D59,0,BI119-(G59-BJ59)))</f>
        <v/>
      </c>
      <c r="BK119" s="15" t="str">
        <f aca="false">IF(BK59="","",IF(BK71=D59,0,BJ119-(G59-BK59)))</f>
        <v/>
      </c>
      <c r="BL119" s="15" t="str">
        <f aca="false">IF(BL59="","",IF(BL71=D59,0,BK119-(G59-BL59)))</f>
        <v/>
      </c>
      <c r="BM119" s="15" t="str">
        <f aca="false">IF(BM59="","",IF(BM71=D59,0,BL119-(G59-BM59)))</f>
        <v/>
      </c>
      <c r="BN119" s="15" t="str">
        <f aca="false">IF(BN59="","",IF(BN71=D59,0,BM119-(G59-BN59)))</f>
        <v/>
      </c>
      <c r="BO119" s="15" t="str">
        <f aca="false">IF(BO59="","",IF(BO71=D59,0,BN119-(G59-BO59)))</f>
        <v/>
      </c>
      <c r="BP119" s="15" t="str">
        <f aca="false">IF(BP59="","",IF(BP71=D59,0,BO119-(G59-BP59)))</f>
        <v/>
      </c>
    </row>
    <row r="120" customFormat="false" ht="15" hidden="false" customHeight="false" outlineLevel="0" collapsed="false">
      <c r="A120" s="29" t="str">
        <f aca="false">A60</f>
        <v/>
      </c>
      <c r="B120" s="29" t="str">
        <f aca="false">B60</f>
        <v/>
      </c>
      <c r="C120" s="29" t="str">
        <f aca="false">C60</f>
        <v/>
      </c>
      <c r="D120" s="16" t="str">
        <f aca="false">D60</f>
        <v/>
      </c>
      <c r="E120" s="17" t="str">
        <f aca="false">E60</f>
        <v/>
      </c>
      <c r="F120" s="15" t="str">
        <f aca="false">F60</f>
        <v/>
      </c>
      <c r="G120" s="15" t="str">
        <f aca="false">G60</f>
        <v/>
      </c>
      <c r="I120" s="15" t="str">
        <f aca="false">IF(I60="","",IF(I71=D60,0,F60-(G60-I60)))</f>
        <v/>
      </c>
      <c r="J120" s="15" t="str">
        <f aca="false">IF(J60="","",IF(J71=D60,0,I120-(G60-J60)))</f>
        <v/>
      </c>
      <c r="K120" s="15" t="str">
        <f aca="false">IF(K60="","",IF(K71=D60,0,J120-(G60-K60)))</f>
        <v/>
      </c>
      <c r="L120" s="15" t="str">
        <f aca="false">IF(L60="","",IF(L71=D60,0,K120-(G60-L60)))</f>
        <v/>
      </c>
      <c r="M120" s="15" t="str">
        <f aca="false">IF(M60="","",IF(M71=D60,0,L120-(G60-M60)))</f>
        <v/>
      </c>
      <c r="N120" s="15" t="str">
        <f aca="false">IF(N60="","",IF(N71=D60,0,M120-(G60-N60)))</f>
        <v/>
      </c>
      <c r="O120" s="15" t="str">
        <f aca="false">IF(O60="","",IF(O71=D60,0,N120-(G60-O60)))</f>
        <v/>
      </c>
      <c r="P120" s="15" t="str">
        <f aca="false">IF(P60="","",IF(P71=D60,0,O120-(G60-P60)))</f>
        <v/>
      </c>
      <c r="Q120" s="15" t="str">
        <f aca="false">IF(Q60="","",IF(Q71=D60,0,P120-(G60-Q60)))</f>
        <v/>
      </c>
      <c r="R120" s="15" t="str">
        <f aca="false">IF(R60="","",IF(R71=D60,0,Q120-(G60-R60)))</f>
        <v/>
      </c>
      <c r="S120" s="15" t="str">
        <f aca="false">IF(S60="","",IF(S71=D60,0,R120-(G60-S60)))</f>
        <v/>
      </c>
      <c r="T120" s="15" t="str">
        <f aca="false">IF(T60="","",IF(T71=D60,0,S120-(G60-T60)))</f>
        <v/>
      </c>
      <c r="U120" s="15" t="str">
        <f aca="false">IF(U60="","",IF(U71=D60,0,T120-(G60-U60)))</f>
        <v/>
      </c>
      <c r="V120" s="15" t="str">
        <f aca="false">IF(V60="","",IF(V71=D60,0,U120-(G60-V60)))</f>
        <v/>
      </c>
      <c r="W120" s="15" t="str">
        <f aca="false">IF(W60="","",IF(W71=D60,0,V120-(G60-W60)))</f>
        <v/>
      </c>
      <c r="X120" s="15" t="str">
        <f aca="false">IF(X60="","",IF(X71=D60,0,W120-(G60-X60)))</f>
        <v/>
      </c>
      <c r="Y120" s="15" t="str">
        <f aca="false">IF(Y60="","",IF(Y71=D60,0,X120-(G60-Y60)))</f>
        <v/>
      </c>
      <c r="Z120" s="15" t="str">
        <f aca="false">IF(Z60="","",IF(Z71=D60,0,Y120-(G60-Z60)))</f>
        <v/>
      </c>
      <c r="AA120" s="15" t="str">
        <f aca="false">IF(AA60="","",IF(AA71=D60,0,Z120-(G60-AA60)))</f>
        <v/>
      </c>
      <c r="AB120" s="15" t="str">
        <f aca="false">IF(AB60="","",IF(AB71=D60,0,AA120-(G60-AB60)))</f>
        <v/>
      </c>
      <c r="AC120" s="15" t="str">
        <f aca="false">IF(AC60="","",IF(AC71=D60,0,AB120-(G60-AC60)))</f>
        <v/>
      </c>
      <c r="AD120" s="15" t="str">
        <f aca="false">IF(AD60="","",IF(AD71=D60,0,AC120-(G60-AD60)))</f>
        <v/>
      </c>
      <c r="AE120" s="15" t="str">
        <f aca="false">IF(AE60="","",IF(AE71=D60,0,AD120-(G60-AE60)))</f>
        <v/>
      </c>
      <c r="AF120" s="15" t="str">
        <f aca="false">IF(AF60="","",IF(AF71=D60,0,AE120-(G60-AF60)))</f>
        <v/>
      </c>
      <c r="AG120" s="15" t="str">
        <f aca="false">IF(AG60="","",IF(AG71=D60,0,AF120-(G60-AG60)))</f>
        <v/>
      </c>
      <c r="AH120" s="15" t="str">
        <f aca="false">IF(AH60="","",IF(AH71=D60,0,AG120-(G60-AH60)))</f>
        <v/>
      </c>
      <c r="AI120" s="15" t="str">
        <f aca="false">IF(AI60="","",IF(AI71=D60,0,AH120-(G60-AI60)))</f>
        <v/>
      </c>
      <c r="AJ120" s="15" t="str">
        <f aca="false">IF(AJ60="","",IF(AJ71=D60,0,AI120-(G60-AJ60)))</f>
        <v/>
      </c>
      <c r="AK120" s="15" t="str">
        <f aca="false">IF(AK60="","",IF(AK71=D60,0,AJ120-(G60-AK60)))</f>
        <v/>
      </c>
      <c r="AL120" s="15" t="str">
        <f aca="false">IF(AL60="","",IF(AL71=D60,0,AK120-(G60-AL60)))</f>
        <v/>
      </c>
      <c r="AM120" s="15" t="str">
        <f aca="false">IF(AM60="","",IF(AM71=D60,0,AL120-(G60-AM60)))</f>
        <v/>
      </c>
      <c r="AN120" s="15" t="str">
        <f aca="false">IF(AN60="","",IF(AN71=D60,0,AM120-(G60-AN60)))</f>
        <v/>
      </c>
      <c r="AO120" s="15" t="str">
        <f aca="false">IF(AO60="","",IF(AO71=D60,0,AN120-(G60-AO60)))</f>
        <v/>
      </c>
      <c r="AP120" s="15" t="str">
        <f aca="false">IF(AP60="","",IF(AP71=D60,0,AO120-(G60-AP60)))</f>
        <v/>
      </c>
      <c r="AQ120" s="15" t="str">
        <f aca="false">IF(AQ60="","",IF(AQ71=D60,0,AP120-(G60-AQ60)))</f>
        <v/>
      </c>
      <c r="AR120" s="15" t="str">
        <f aca="false">IF(AR60="","",IF(AR71=D60,0,AQ120-(G60-AR60)))</f>
        <v/>
      </c>
      <c r="AS120" s="15" t="str">
        <f aca="false">IF(AS60="","",IF(AS71=D60,0,AR120-(G60-AS60)))</f>
        <v/>
      </c>
      <c r="AT120" s="15" t="str">
        <f aca="false">IF(AT60="","",IF(AT71=D60,0,AS120-(G60-AT60)))</f>
        <v/>
      </c>
      <c r="AU120" s="15" t="str">
        <f aca="false">IF(AU60="","",IF(AU71=D60,0,AT120-(G60-AU60)))</f>
        <v/>
      </c>
      <c r="AV120" s="15" t="str">
        <f aca="false">IF(AV60="","",IF(AV71=D60,0,AU120-(G60-AV60)))</f>
        <v/>
      </c>
      <c r="AW120" s="15" t="str">
        <f aca="false">IF(AW60="","",IF(AW71=D60,0,AV120-(G60-AW60)))</f>
        <v/>
      </c>
      <c r="AX120" s="15" t="str">
        <f aca="false">IF(AX60="","",IF(AX71=D60,0,AW120-(G60-AX60)))</f>
        <v/>
      </c>
      <c r="AY120" s="15" t="str">
        <f aca="false">IF(AY60="","",IF(AY71=D60,0,AX120-(G60-AY60)))</f>
        <v/>
      </c>
      <c r="AZ120" s="15" t="str">
        <f aca="false">IF(AZ60="","",IF(AZ71=D60,0,AY120-(G60-AZ60)))</f>
        <v/>
      </c>
      <c r="BA120" s="15" t="str">
        <f aca="false">IF(BA60="","",IF(BA71=D60,0,AZ120-(G60-BA60)))</f>
        <v/>
      </c>
      <c r="BB120" s="15" t="str">
        <f aca="false">IF(BB60="","",IF(BB71=D60,0,BA120-(G60-BB60)))</f>
        <v/>
      </c>
      <c r="BC120" s="15" t="str">
        <f aca="false">IF(BC60="","",IF(BC71=D60,0,BB120-(G60-BC60)))</f>
        <v/>
      </c>
      <c r="BD120" s="15" t="str">
        <f aca="false">IF(BD60="","",IF(BD71=D60,0,BC120-(G60-BD60)))</f>
        <v/>
      </c>
      <c r="BE120" s="15" t="str">
        <f aca="false">IF(BE60="","",IF(BE71=D60,0,BD120-(G60-BE60)))</f>
        <v/>
      </c>
      <c r="BF120" s="15" t="str">
        <f aca="false">IF(BF60="","",IF(BF71=D60,0,BE120-(G60-BF60)))</f>
        <v/>
      </c>
      <c r="BG120" s="15" t="str">
        <f aca="false">IF(BG60="","",IF(BG71=D60,0,BF120-(G60-BG60)))</f>
        <v/>
      </c>
      <c r="BH120" s="15" t="str">
        <f aca="false">IF(BH60="","",IF(BH71=D60,0,BG120-(G60-BH60)))</f>
        <v/>
      </c>
      <c r="BI120" s="15" t="str">
        <f aca="false">IF(BI60="","",IF(BI71=D60,0,BH120-(G60-BI60)))</f>
        <v/>
      </c>
      <c r="BJ120" s="15" t="str">
        <f aca="false">IF(BJ60="","",IF(BJ71=D60,0,BI120-(G60-BJ60)))</f>
        <v/>
      </c>
      <c r="BK120" s="15" t="str">
        <f aca="false">IF(BK60="","",IF(BK71=D60,0,BJ120-(G60-BK60)))</f>
        <v/>
      </c>
      <c r="BL120" s="15" t="str">
        <f aca="false">IF(BL60="","",IF(BL71=D60,0,BK120-(G60-BL60)))</f>
        <v/>
      </c>
      <c r="BM120" s="15" t="str">
        <f aca="false">IF(BM60="","",IF(BM71=D60,0,BL120-(G60-BM60)))</f>
        <v/>
      </c>
      <c r="BN120" s="15" t="str">
        <f aca="false">IF(BN60="","",IF(BN71=D60,0,BM120-(G60-BN60)))</f>
        <v/>
      </c>
      <c r="BO120" s="15" t="str">
        <f aca="false">IF(BO60="","",IF(BO71=D60,0,BN120-(G60-BO60)))</f>
        <v/>
      </c>
      <c r="BP120" s="15" t="str">
        <f aca="false">IF(BP60="","",IF(BP71=D60,0,BO120-(G60-BP60)))</f>
        <v/>
      </c>
    </row>
    <row r="121" customFormat="false" ht="15" hidden="false" customHeight="false" outlineLevel="0" collapsed="false">
      <c r="A121" s="29" t="str">
        <f aca="false">A61</f>
        <v/>
      </c>
      <c r="B121" s="29" t="str">
        <f aca="false">B61</f>
        <v/>
      </c>
      <c r="C121" s="29" t="str">
        <f aca="false">C61</f>
        <v/>
      </c>
      <c r="D121" s="16" t="str">
        <f aca="false">D61</f>
        <v/>
      </c>
      <c r="E121" s="17" t="str">
        <f aca="false">E61</f>
        <v/>
      </c>
      <c r="F121" s="15" t="str">
        <f aca="false">F61</f>
        <v/>
      </c>
      <c r="G121" s="15" t="str">
        <f aca="false">G61</f>
        <v/>
      </c>
      <c r="I121" s="15" t="str">
        <f aca="false">IF(I61="","",IF(I71=D61,0,F61-(G61-I61)))</f>
        <v/>
      </c>
      <c r="J121" s="15" t="str">
        <f aca="false">IF(J61="","",IF(J71=D61,0,I121-(G61-J61)))</f>
        <v/>
      </c>
      <c r="K121" s="15" t="str">
        <f aca="false">IF(K61="","",IF(K71=D61,0,J121-(G61-K61)))</f>
        <v/>
      </c>
      <c r="L121" s="15" t="str">
        <f aca="false">IF(L61="","",IF(L71=D61,0,K121-(G61-L61)))</f>
        <v/>
      </c>
      <c r="M121" s="15" t="str">
        <f aca="false">IF(M61="","",IF(M71=D61,0,L121-(G61-M61)))</f>
        <v/>
      </c>
      <c r="N121" s="15" t="str">
        <f aca="false">IF(N61="","",IF(N71=D61,0,M121-(G61-N61)))</f>
        <v/>
      </c>
      <c r="O121" s="15" t="str">
        <f aca="false">IF(O61="","",IF(O71=D61,0,N121-(G61-O61)))</f>
        <v/>
      </c>
      <c r="P121" s="15" t="str">
        <f aca="false">IF(P61="","",IF(P71=D61,0,O121-(G61-P61)))</f>
        <v/>
      </c>
      <c r="Q121" s="15" t="str">
        <f aca="false">IF(Q61="","",IF(Q71=D61,0,P121-(G61-Q61)))</f>
        <v/>
      </c>
      <c r="R121" s="15" t="str">
        <f aca="false">IF(R61="","",IF(R71=D61,0,Q121-(G61-R61)))</f>
        <v/>
      </c>
      <c r="S121" s="15" t="str">
        <f aca="false">IF(S61="","",IF(S71=D61,0,R121-(G61-S61)))</f>
        <v/>
      </c>
      <c r="T121" s="15" t="str">
        <f aca="false">IF(T61="","",IF(T71=D61,0,S121-(G61-T61)))</f>
        <v/>
      </c>
      <c r="U121" s="15" t="str">
        <f aca="false">IF(U61="","",IF(U71=D61,0,T121-(G61-U61)))</f>
        <v/>
      </c>
      <c r="V121" s="15" t="str">
        <f aca="false">IF(V61="","",IF(V71=D61,0,U121-(G61-V61)))</f>
        <v/>
      </c>
      <c r="W121" s="15" t="str">
        <f aca="false">IF(W61="","",IF(W71=D61,0,V121-(G61-W61)))</f>
        <v/>
      </c>
      <c r="X121" s="15" t="str">
        <f aca="false">IF(X61="","",IF(X71=D61,0,W121-(G61-X61)))</f>
        <v/>
      </c>
      <c r="Y121" s="15" t="str">
        <f aca="false">IF(Y61="","",IF(Y71=D61,0,X121-(G61-Y61)))</f>
        <v/>
      </c>
      <c r="Z121" s="15" t="str">
        <f aca="false">IF(Z61="","",IF(Z71=D61,0,Y121-(G61-Z61)))</f>
        <v/>
      </c>
      <c r="AA121" s="15" t="str">
        <f aca="false">IF(AA61="","",IF(AA71=D61,0,Z121-(G61-AA61)))</f>
        <v/>
      </c>
      <c r="AB121" s="15" t="str">
        <f aca="false">IF(AB61="","",IF(AB71=D61,0,AA121-(G61-AB61)))</f>
        <v/>
      </c>
      <c r="AC121" s="15" t="str">
        <f aca="false">IF(AC61="","",IF(AC71=D61,0,AB121-(G61-AC61)))</f>
        <v/>
      </c>
      <c r="AD121" s="15" t="str">
        <f aca="false">IF(AD61="","",IF(AD71=D61,0,AC121-(G61-AD61)))</f>
        <v/>
      </c>
      <c r="AE121" s="15" t="str">
        <f aca="false">IF(AE61="","",IF(AE71=D61,0,AD121-(G61-AE61)))</f>
        <v/>
      </c>
      <c r="AF121" s="15" t="str">
        <f aca="false">IF(AF61="","",IF(AF71=D61,0,AE121-(G61-AF61)))</f>
        <v/>
      </c>
      <c r="AG121" s="15" t="str">
        <f aca="false">IF(AG61="","",IF(AG71=D61,0,AF121-(G61-AG61)))</f>
        <v/>
      </c>
      <c r="AH121" s="15" t="str">
        <f aca="false">IF(AH61="","",IF(AH71=D61,0,AG121-(G61-AH61)))</f>
        <v/>
      </c>
      <c r="AI121" s="15" t="str">
        <f aca="false">IF(AI61="","",IF(AI71=D61,0,AH121-(G61-AI61)))</f>
        <v/>
      </c>
      <c r="AJ121" s="15" t="str">
        <f aca="false">IF(AJ61="","",IF(AJ71=D61,0,AI121-(G61-AJ61)))</f>
        <v/>
      </c>
      <c r="AK121" s="15" t="str">
        <f aca="false">IF(AK61="","",IF(AK71=D61,0,AJ121-(G61-AK61)))</f>
        <v/>
      </c>
      <c r="AL121" s="15" t="str">
        <f aca="false">IF(AL61="","",IF(AL71=D61,0,AK121-(G61-AL61)))</f>
        <v/>
      </c>
      <c r="AM121" s="15" t="str">
        <f aca="false">IF(AM61="","",IF(AM71=D61,0,AL121-(G61-AM61)))</f>
        <v/>
      </c>
      <c r="AN121" s="15" t="str">
        <f aca="false">IF(AN61="","",IF(AN71=D61,0,AM121-(G61-AN61)))</f>
        <v/>
      </c>
      <c r="AO121" s="15" t="str">
        <f aca="false">IF(AO61="","",IF(AO71=D61,0,AN121-(G61-AO61)))</f>
        <v/>
      </c>
      <c r="AP121" s="15" t="str">
        <f aca="false">IF(AP61="","",IF(AP71=D61,0,AO121-(G61-AP61)))</f>
        <v/>
      </c>
      <c r="AQ121" s="15" t="str">
        <f aca="false">IF(AQ61="","",IF(AQ71=D61,0,AP121-(G61-AQ61)))</f>
        <v/>
      </c>
      <c r="AR121" s="15" t="str">
        <f aca="false">IF(AR61="","",IF(AR71=D61,0,AQ121-(G61-AR61)))</f>
        <v/>
      </c>
      <c r="AS121" s="15" t="str">
        <f aca="false">IF(AS61="","",IF(AS71=D61,0,AR121-(G61-AS61)))</f>
        <v/>
      </c>
      <c r="AT121" s="15" t="str">
        <f aca="false">IF(AT61="","",IF(AT71=D61,0,AS121-(G61-AT61)))</f>
        <v/>
      </c>
      <c r="AU121" s="15" t="str">
        <f aca="false">IF(AU61="","",IF(AU71=D61,0,AT121-(G61-AU61)))</f>
        <v/>
      </c>
      <c r="AV121" s="15" t="str">
        <f aca="false">IF(AV61="","",IF(AV71=D61,0,AU121-(G61-AV61)))</f>
        <v/>
      </c>
      <c r="AW121" s="15" t="str">
        <f aca="false">IF(AW61="","",IF(AW71=D61,0,AV121-(G61-AW61)))</f>
        <v/>
      </c>
      <c r="AX121" s="15" t="str">
        <f aca="false">IF(AX61="","",IF(AX71=D61,0,AW121-(G61-AX61)))</f>
        <v/>
      </c>
      <c r="AY121" s="15" t="str">
        <f aca="false">IF(AY61="","",IF(AY71=D61,0,AX121-(G61-AY61)))</f>
        <v/>
      </c>
      <c r="AZ121" s="15" t="str">
        <f aca="false">IF(AZ61="","",IF(AZ71=D61,0,AY121-(G61-AZ61)))</f>
        <v/>
      </c>
      <c r="BA121" s="15" t="str">
        <f aca="false">IF(BA61="","",IF(BA71=D61,0,AZ121-(G61-BA61)))</f>
        <v/>
      </c>
      <c r="BB121" s="15" t="str">
        <f aca="false">IF(BB61="","",IF(BB71=D61,0,BA121-(G61-BB61)))</f>
        <v/>
      </c>
      <c r="BC121" s="15" t="str">
        <f aca="false">IF(BC61="","",IF(BC71=D61,0,BB121-(G61-BC61)))</f>
        <v/>
      </c>
      <c r="BD121" s="15" t="str">
        <f aca="false">IF(BD61="","",IF(BD71=D61,0,BC121-(G61-BD61)))</f>
        <v/>
      </c>
      <c r="BE121" s="15" t="str">
        <f aca="false">IF(BE61="","",IF(BE71=D61,0,BD121-(G61-BE61)))</f>
        <v/>
      </c>
      <c r="BF121" s="15" t="str">
        <f aca="false">IF(BF61="","",IF(BF71=D61,0,BE121-(G61-BF61)))</f>
        <v/>
      </c>
      <c r="BG121" s="15" t="str">
        <f aca="false">IF(BG61="","",IF(BG71=D61,0,BF121-(G61-BG61)))</f>
        <v/>
      </c>
      <c r="BH121" s="15" t="str">
        <f aca="false">IF(BH61="","",IF(BH71=D61,0,BG121-(G61-BH61)))</f>
        <v/>
      </c>
      <c r="BI121" s="15" t="str">
        <f aca="false">IF(BI61="","",IF(BI71=D61,0,BH121-(G61-BI61)))</f>
        <v/>
      </c>
      <c r="BJ121" s="15" t="str">
        <f aca="false">IF(BJ61="","",IF(BJ71=D61,0,BI121-(G61-BJ61)))</f>
        <v/>
      </c>
      <c r="BK121" s="15" t="str">
        <f aca="false">IF(BK61="","",IF(BK71=D61,0,BJ121-(G61-BK61)))</f>
        <v/>
      </c>
      <c r="BL121" s="15" t="str">
        <f aca="false">IF(BL61="","",IF(BL71=D61,0,BK121-(G61-BL61)))</f>
        <v/>
      </c>
      <c r="BM121" s="15" t="str">
        <f aca="false">IF(BM61="","",IF(BM71=D61,0,BL121-(G61-BM61)))</f>
        <v/>
      </c>
      <c r="BN121" s="15" t="str">
        <f aca="false">IF(BN61="","",IF(BN71=D61,0,BM121-(G61-BN61)))</f>
        <v/>
      </c>
      <c r="BO121" s="15" t="str">
        <f aca="false">IF(BO61="","",IF(BO71=D61,0,BN121-(G61-BO61)))</f>
        <v/>
      </c>
      <c r="BP121" s="15" t="str">
        <f aca="false">IF(BP61="","",IF(BP71=D61,0,BO121-(G61-BP61)))</f>
        <v/>
      </c>
    </row>
    <row r="130" customFormat="false" ht="15" hidden="false" customHeight="false" outlineLevel="0" collapsed="false">
      <c r="A130" s="28" t="s">
        <v>74</v>
      </c>
    </row>
    <row r="131" customFormat="false" ht="15" hidden="false" customHeight="false" outlineLevel="0" collapsed="false">
      <c r="A131" s="10" t="s">
        <v>13</v>
      </c>
      <c r="B131" s="10" t="s">
        <v>70</v>
      </c>
      <c r="I131" s="30" t="n">
        <f aca="false">DATE(YEAR(Loans!C8),MONTH(Loans!C8),1)</f>
        <v>46296</v>
      </c>
      <c r="J131" s="30" t="n">
        <f aca="false">EDATE(I131,1)</f>
        <v>46327</v>
      </c>
      <c r="K131" s="30" t="n">
        <f aca="false">EDATE(J131,1)</f>
        <v>46357</v>
      </c>
      <c r="L131" s="30" t="n">
        <f aca="false">EDATE(K131,1)</f>
        <v>46388</v>
      </c>
      <c r="M131" s="30" t="n">
        <f aca="false">EDATE(L131,1)</f>
        <v>46419</v>
      </c>
      <c r="N131" s="30" t="n">
        <f aca="false">EDATE(M131,1)</f>
        <v>46447</v>
      </c>
      <c r="O131" s="30" t="n">
        <f aca="false">EDATE(N131,1)</f>
        <v>46478</v>
      </c>
      <c r="P131" s="30" t="n">
        <f aca="false">EDATE(O131,1)</f>
        <v>46508</v>
      </c>
      <c r="Q131" s="30" t="n">
        <f aca="false">EDATE(P131,1)</f>
        <v>46539</v>
      </c>
      <c r="R131" s="30" t="n">
        <f aca="false">EDATE(Q131,1)</f>
        <v>46569</v>
      </c>
      <c r="S131" s="30" t="n">
        <f aca="false">EDATE(R131,1)</f>
        <v>46600</v>
      </c>
      <c r="T131" s="30" t="n">
        <f aca="false">EDATE(S131,1)</f>
        <v>46631</v>
      </c>
    </row>
    <row r="132" customFormat="false" ht="15" hidden="false" customHeight="false" outlineLevel="0" collapsed="false">
      <c r="A132" s="29" t="n">
        <f aca="false">A12</f>
        <v>1</v>
      </c>
      <c r="B132" s="29" t="str">
        <f aca="false">B12</f>
        <v>SAMPLE Client A (replace)</v>
      </c>
      <c r="I132" s="16" t="n">
        <f aca="false">IF(OR(C12&lt;&gt;"Closed",E12=""),"",(YEAR(I131)-YEAR(E12))*12+MONTH(I131)-MONTH(E12)+1)</f>
        <v>3</v>
      </c>
      <c r="J132" s="16" t="n">
        <f aca="false">IF(OR(C12&lt;&gt;"Closed",E12=""),"",(YEAR(J131)-YEAR(E12))*12+MONTH(J131)-MONTH(E12)+1)</f>
        <v>4</v>
      </c>
      <c r="K132" s="16" t="n">
        <f aca="false">IF(OR(C12&lt;&gt;"Closed",E12=""),"",(YEAR(K131)-YEAR(E12))*12+MONTH(K131)-MONTH(E12)+1)</f>
        <v>5</v>
      </c>
      <c r="L132" s="16" t="n">
        <f aca="false">IF(OR(C12&lt;&gt;"Closed",E12=""),"",(YEAR(L131)-YEAR(E12))*12+MONTH(L131)-MONTH(E12)+1)</f>
        <v>6</v>
      </c>
      <c r="M132" s="16" t="n">
        <f aca="false">IF(OR(C12&lt;&gt;"Closed",E12=""),"",(YEAR(M131)-YEAR(E12))*12+MONTH(M131)-MONTH(E12)+1)</f>
        <v>7</v>
      </c>
      <c r="N132" s="16" t="n">
        <f aca="false">IF(OR(C12&lt;&gt;"Closed",E12=""),"",(YEAR(N131)-YEAR(E12))*12+MONTH(N131)-MONTH(E12)+1)</f>
        <v>8</v>
      </c>
      <c r="O132" s="16" t="n">
        <f aca="false">IF(OR(C12&lt;&gt;"Closed",E12=""),"",(YEAR(O131)-YEAR(E12))*12+MONTH(O131)-MONTH(E12)+1)</f>
        <v>9</v>
      </c>
      <c r="P132" s="16" t="n">
        <f aca="false">IF(OR(C12&lt;&gt;"Closed",E12=""),"",(YEAR(P131)-YEAR(E12))*12+MONTH(P131)-MONTH(E12)+1)</f>
        <v>10</v>
      </c>
      <c r="Q132" s="16" t="n">
        <f aca="false">IF(OR(C12&lt;&gt;"Closed",E12=""),"",(YEAR(Q131)-YEAR(E12))*12+MONTH(Q131)-MONTH(E12)+1)</f>
        <v>11</v>
      </c>
      <c r="R132" s="16" t="n">
        <f aca="false">IF(OR(C12&lt;&gt;"Closed",E12=""),"",(YEAR(R131)-YEAR(E12))*12+MONTH(R131)-MONTH(E12)+1)</f>
        <v>12</v>
      </c>
      <c r="S132" s="16" t="n">
        <f aca="false">IF(OR(C12&lt;&gt;"Closed",E12=""),"",(YEAR(S131)-YEAR(E12))*12+MONTH(S131)-MONTH(E12)+1)</f>
        <v>13</v>
      </c>
      <c r="T132" s="16" t="n">
        <f aca="false">IF(OR(C12&lt;&gt;"Closed",E12=""),"",(YEAR(T131)-YEAR(E12))*12+MONTH(T131)-MONTH(E12)+1)</f>
        <v>14</v>
      </c>
    </row>
    <row r="133" customFormat="false" ht="15" hidden="false" customHeight="false" outlineLevel="0" collapsed="false">
      <c r="A133" s="29" t="n">
        <f aca="false">A13</f>
        <v>2</v>
      </c>
      <c r="B133" s="29" t="str">
        <f aca="false">B13</f>
        <v>SAMPLE Client B (replace)</v>
      </c>
      <c r="I133" s="16" t="str">
        <f aca="false">IF(OR(C13&lt;&gt;"Closed",E13=""),"",(YEAR(I131)-YEAR(E13))*12+MONTH(I131)-MONTH(E13)+1)</f>
        <v/>
      </c>
      <c r="J133" s="16" t="str">
        <f aca="false">IF(OR(C13&lt;&gt;"Closed",E13=""),"",(YEAR(J131)-YEAR(E13))*12+MONTH(J131)-MONTH(E13)+1)</f>
        <v/>
      </c>
      <c r="K133" s="16" t="str">
        <f aca="false">IF(OR(C13&lt;&gt;"Closed",E13=""),"",(YEAR(K131)-YEAR(E13))*12+MONTH(K131)-MONTH(E13)+1)</f>
        <v/>
      </c>
      <c r="L133" s="16" t="str">
        <f aca="false">IF(OR(C13&lt;&gt;"Closed",E13=""),"",(YEAR(L131)-YEAR(E13))*12+MONTH(L131)-MONTH(E13)+1)</f>
        <v/>
      </c>
      <c r="M133" s="16" t="str">
        <f aca="false">IF(OR(C13&lt;&gt;"Closed",E13=""),"",(YEAR(M131)-YEAR(E13))*12+MONTH(M131)-MONTH(E13)+1)</f>
        <v/>
      </c>
      <c r="N133" s="16" t="str">
        <f aca="false">IF(OR(C13&lt;&gt;"Closed",E13=""),"",(YEAR(N131)-YEAR(E13))*12+MONTH(N131)-MONTH(E13)+1)</f>
        <v/>
      </c>
      <c r="O133" s="16" t="str">
        <f aca="false">IF(OR(C13&lt;&gt;"Closed",E13=""),"",(YEAR(O131)-YEAR(E13))*12+MONTH(O131)-MONTH(E13)+1)</f>
        <v/>
      </c>
      <c r="P133" s="16" t="str">
        <f aca="false">IF(OR(C13&lt;&gt;"Closed",E13=""),"",(YEAR(P131)-YEAR(E13))*12+MONTH(P131)-MONTH(E13)+1)</f>
        <v/>
      </c>
      <c r="Q133" s="16" t="str">
        <f aca="false">IF(OR(C13&lt;&gt;"Closed",E13=""),"",(YEAR(Q131)-YEAR(E13))*12+MONTH(Q131)-MONTH(E13)+1)</f>
        <v/>
      </c>
      <c r="R133" s="16" t="str">
        <f aca="false">IF(OR(C13&lt;&gt;"Closed",E13=""),"",(YEAR(R131)-YEAR(E13))*12+MONTH(R131)-MONTH(E13)+1)</f>
        <v/>
      </c>
      <c r="S133" s="16" t="str">
        <f aca="false">IF(OR(C13&lt;&gt;"Closed",E13=""),"",(YEAR(S131)-YEAR(E13))*12+MONTH(S131)-MONTH(E13)+1)</f>
        <v/>
      </c>
      <c r="T133" s="16" t="str">
        <f aca="false">IF(OR(C13&lt;&gt;"Closed",E13=""),"",(YEAR(T131)-YEAR(E13))*12+MONTH(T131)-MONTH(E13)+1)</f>
        <v/>
      </c>
    </row>
    <row r="134" customFormat="false" ht="15" hidden="false" customHeight="false" outlineLevel="0" collapsed="false">
      <c r="A134" s="29" t="n">
        <f aca="false">A14</f>
        <v>3</v>
      </c>
      <c r="B134" s="29" t="str">
        <f aca="false">B14</f>
        <v>SAMPLE Client C (replace)</v>
      </c>
      <c r="I134" s="16" t="str">
        <f aca="false">IF(OR(C14&lt;&gt;"Closed",E14=""),"",(YEAR(I131)-YEAR(E14))*12+MONTH(I131)-MONTH(E14)+1)</f>
        <v/>
      </c>
      <c r="J134" s="16" t="str">
        <f aca="false">IF(OR(C14&lt;&gt;"Closed",E14=""),"",(YEAR(J131)-YEAR(E14))*12+MONTH(J131)-MONTH(E14)+1)</f>
        <v/>
      </c>
      <c r="K134" s="16" t="str">
        <f aca="false">IF(OR(C14&lt;&gt;"Closed",E14=""),"",(YEAR(K131)-YEAR(E14))*12+MONTH(K131)-MONTH(E14)+1)</f>
        <v/>
      </c>
      <c r="L134" s="16" t="str">
        <f aca="false">IF(OR(C14&lt;&gt;"Closed",E14=""),"",(YEAR(L131)-YEAR(E14))*12+MONTH(L131)-MONTH(E14)+1)</f>
        <v/>
      </c>
      <c r="M134" s="16" t="str">
        <f aca="false">IF(OR(C14&lt;&gt;"Closed",E14=""),"",(YEAR(M131)-YEAR(E14))*12+MONTH(M131)-MONTH(E14)+1)</f>
        <v/>
      </c>
      <c r="N134" s="16" t="str">
        <f aca="false">IF(OR(C14&lt;&gt;"Closed",E14=""),"",(YEAR(N131)-YEAR(E14))*12+MONTH(N131)-MONTH(E14)+1)</f>
        <v/>
      </c>
      <c r="O134" s="16" t="str">
        <f aca="false">IF(OR(C14&lt;&gt;"Closed",E14=""),"",(YEAR(O131)-YEAR(E14))*12+MONTH(O131)-MONTH(E14)+1)</f>
        <v/>
      </c>
      <c r="P134" s="16" t="str">
        <f aca="false">IF(OR(C14&lt;&gt;"Closed",E14=""),"",(YEAR(P131)-YEAR(E14))*12+MONTH(P131)-MONTH(E14)+1)</f>
        <v/>
      </c>
      <c r="Q134" s="16" t="str">
        <f aca="false">IF(OR(C14&lt;&gt;"Closed",E14=""),"",(YEAR(Q131)-YEAR(E14))*12+MONTH(Q131)-MONTH(E14)+1)</f>
        <v/>
      </c>
      <c r="R134" s="16" t="str">
        <f aca="false">IF(OR(C14&lt;&gt;"Closed",E14=""),"",(YEAR(R131)-YEAR(E14))*12+MONTH(R131)-MONTH(E14)+1)</f>
        <v/>
      </c>
      <c r="S134" s="16" t="str">
        <f aca="false">IF(OR(C14&lt;&gt;"Closed",E14=""),"",(YEAR(S131)-YEAR(E14))*12+MONTH(S131)-MONTH(E14)+1)</f>
        <v/>
      </c>
      <c r="T134" s="16" t="str">
        <f aca="false">IF(OR(C14&lt;&gt;"Closed",E14=""),"",(YEAR(T131)-YEAR(E14))*12+MONTH(T131)-MONTH(E14)+1)</f>
        <v/>
      </c>
    </row>
    <row r="135" customFormat="false" ht="15" hidden="false" customHeight="false" outlineLevel="0" collapsed="false">
      <c r="A135" s="29" t="str">
        <f aca="false">A15</f>
        <v/>
      </c>
      <c r="B135" s="29" t="str">
        <f aca="false">B15</f>
        <v/>
      </c>
      <c r="I135" s="16" t="str">
        <f aca="false">IF(OR(C15&lt;&gt;"Closed",E15=""),"",(YEAR(I131)-YEAR(E15))*12+MONTH(I131)-MONTH(E15)+1)</f>
        <v/>
      </c>
      <c r="J135" s="16" t="str">
        <f aca="false">IF(OR(C15&lt;&gt;"Closed",E15=""),"",(YEAR(J131)-YEAR(E15))*12+MONTH(J131)-MONTH(E15)+1)</f>
        <v/>
      </c>
      <c r="K135" s="16" t="str">
        <f aca="false">IF(OR(C15&lt;&gt;"Closed",E15=""),"",(YEAR(K131)-YEAR(E15))*12+MONTH(K131)-MONTH(E15)+1)</f>
        <v/>
      </c>
      <c r="L135" s="16" t="str">
        <f aca="false">IF(OR(C15&lt;&gt;"Closed",E15=""),"",(YEAR(L131)-YEAR(E15))*12+MONTH(L131)-MONTH(E15)+1)</f>
        <v/>
      </c>
      <c r="M135" s="16" t="str">
        <f aca="false">IF(OR(C15&lt;&gt;"Closed",E15=""),"",(YEAR(M131)-YEAR(E15))*12+MONTH(M131)-MONTH(E15)+1)</f>
        <v/>
      </c>
      <c r="N135" s="16" t="str">
        <f aca="false">IF(OR(C15&lt;&gt;"Closed",E15=""),"",(YEAR(N131)-YEAR(E15))*12+MONTH(N131)-MONTH(E15)+1)</f>
        <v/>
      </c>
      <c r="O135" s="16" t="str">
        <f aca="false">IF(OR(C15&lt;&gt;"Closed",E15=""),"",(YEAR(O131)-YEAR(E15))*12+MONTH(O131)-MONTH(E15)+1)</f>
        <v/>
      </c>
      <c r="P135" s="16" t="str">
        <f aca="false">IF(OR(C15&lt;&gt;"Closed",E15=""),"",(YEAR(P131)-YEAR(E15))*12+MONTH(P131)-MONTH(E15)+1)</f>
        <v/>
      </c>
      <c r="Q135" s="16" t="str">
        <f aca="false">IF(OR(C15&lt;&gt;"Closed",E15=""),"",(YEAR(Q131)-YEAR(E15))*12+MONTH(Q131)-MONTH(E15)+1)</f>
        <v/>
      </c>
      <c r="R135" s="16" t="str">
        <f aca="false">IF(OR(C15&lt;&gt;"Closed",E15=""),"",(YEAR(R131)-YEAR(E15))*12+MONTH(R131)-MONTH(E15)+1)</f>
        <v/>
      </c>
      <c r="S135" s="16" t="str">
        <f aca="false">IF(OR(C15&lt;&gt;"Closed",E15=""),"",(YEAR(S131)-YEAR(E15))*12+MONTH(S131)-MONTH(E15)+1)</f>
        <v/>
      </c>
      <c r="T135" s="16" t="str">
        <f aca="false">IF(OR(C15&lt;&gt;"Closed",E15=""),"",(YEAR(T131)-YEAR(E15))*12+MONTH(T131)-MONTH(E15)+1)</f>
        <v/>
      </c>
    </row>
    <row r="136" customFormat="false" ht="15" hidden="false" customHeight="false" outlineLevel="0" collapsed="false">
      <c r="A136" s="29" t="str">
        <f aca="false">A16</f>
        <v/>
      </c>
      <c r="B136" s="29" t="str">
        <f aca="false">B16</f>
        <v/>
      </c>
      <c r="I136" s="16" t="str">
        <f aca="false">IF(OR(C16&lt;&gt;"Closed",E16=""),"",(YEAR(I131)-YEAR(E16))*12+MONTH(I131)-MONTH(E16)+1)</f>
        <v/>
      </c>
      <c r="J136" s="16" t="str">
        <f aca="false">IF(OR(C16&lt;&gt;"Closed",E16=""),"",(YEAR(J131)-YEAR(E16))*12+MONTH(J131)-MONTH(E16)+1)</f>
        <v/>
      </c>
      <c r="K136" s="16" t="str">
        <f aca="false">IF(OR(C16&lt;&gt;"Closed",E16=""),"",(YEAR(K131)-YEAR(E16))*12+MONTH(K131)-MONTH(E16)+1)</f>
        <v/>
      </c>
      <c r="L136" s="16" t="str">
        <f aca="false">IF(OR(C16&lt;&gt;"Closed",E16=""),"",(YEAR(L131)-YEAR(E16))*12+MONTH(L131)-MONTH(E16)+1)</f>
        <v/>
      </c>
      <c r="M136" s="16" t="str">
        <f aca="false">IF(OR(C16&lt;&gt;"Closed",E16=""),"",(YEAR(M131)-YEAR(E16))*12+MONTH(M131)-MONTH(E16)+1)</f>
        <v/>
      </c>
      <c r="N136" s="16" t="str">
        <f aca="false">IF(OR(C16&lt;&gt;"Closed",E16=""),"",(YEAR(N131)-YEAR(E16))*12+MONTH(N131)-MONTH(E16)+1)</f>
        <v/>
      </c>
      <c r="O136" s="16" t="str">
        <f aca="false">IF(OR(C16&lt;&gt;"Closed",E16=""),"",(YEAR(O131)-YEAR(E16))*12+MONTH(O131)-MONTH(E16)+1)</f>
        <v/>
      </c>
      <c r="P136" s="16" t="str">
        <f aca="false">IF(OR(C16&lt;&gt;"Closed",E16=""),"",(YEAR(P131)-YEAR(E16))*12+MONTH(P131)-MONTH(E16)+1)</f>
        <v/>
      </c>
      <c r="Q136" s="16" t="str">
        <f aca="false">IF(OR(C16&lt;&gt;"Closed",E16=""),"",(YEAR(Q131)-YEAR(E16))*12+MONTH(Q131)-MONTH(E16)+1)</f>
        <v/>
      </c>
      <c r="R136" s="16" t="str">
        <f aca="false">IF(OR(C16&lt;&gt;"Closed",E16=""),"",(YEAR(R131)-YEAR(E16))*12+MONTH(R131)-MONTH(E16)+1)</f>
        <v/>
      </c>
      <c r="S136" s="16" t="str">
        <f aca="false">IF(OR(C16&lt;&gt;"Closed",E16=""),"",(YEAR(S131)-YEAR(E16))*12+MONTH(S131)-MONTH(E16)+1)</f>
        <v/>
      </c>
      <c r="T136" s="16" t="str">
        <f aca="false">IF(OR(C16&lt;&gt;"Closed",E16=""),"",(YEAR(T131)-YEAR(E16))*12+MONTH(T131)-MONTH(E16)+1)</f>
        <v/>
      </c>
    </row>
    <row r="137" customFormat="false" ht="15" hidden="false" customHeight="false" outlineLevel="0" collapsed="false">
      <c r="A137" s="29" t="str">
        <f aca="false">A17</f>
        <v/>
      </c>
      <c r="B137" s="29" t="str">
        <f aca="false">B17</f>
        <v/>
      </c>
      <c r="I137" s="16" t="str">
        <f aca="false">IF(OR(C17&lt;&gt;"Closed",E17=""),"",(YEAR(I131)-YEAR(E17))*12+MONTH(I131)-MONTH(E17)+1)</f>
        <v/>
      </c>
      <c r="J137" s="16" t="str">
        <f aca="false">IF(OR(C17&lt;&gt;"Closed",E17=""),"",(YEAR(J131)-YEAR(E17))*12+MONTH(J131)-MONTH(E17)+1)</f>
        <v/>
      </c>
      <c r="K137" s="16" t="str">
        <f aca="false">IF(OR(C17&lt;&gt;"Closed",E17=""),"",(YEAR(K131)-YEAR(E17))*12+MONTH(K131)-MONTH(E17)+1)</f>
        <v/>
      </c>
      <c r="L137" s="16" t="str">
        <f aca="false">IF(OR(C17&lt;&gt;"Closed",E17=""),"",(YEAR(L131)-YEAR(E17))*12+MONTH(L131)-MONTH(E17)+1)</f>
        <v/>
      </c>
      <c r="M137" s="16" t="str">
        <f aca="false">IF(OR(C17&lt;&gt;"Closed",E17=""),"",(YEAR(M131)-YEAR(E17))*12+MONTH(M131)-MONTH(E17)+1)</f>
        <v/>
      </c>
      <c r="N137" s="16" t="str">
        <f aca="false">IF(OR(C17&lt;&gt;"Closed",E17=""),"",(YEAR(N131)-YEAR(E17))*12+MONTH(N131)-MONTH(E17)+1)</f>
        <v/>
      </c>
      <c r="O137" s="16" t="str">
        <f aca="false">IF(OR(C17&lt;&gt;"Closed",E17=""),"",(YEAR(O131)-YEAR(E17))*12+MONTH(O131)-MONTH(E17)+1)</f>
        <v/>
      </c>
      <c r="P137" s="16" t="str">
        <f aca="false">IF(OR(C17&lt;&gt;"Closed",E17=""),"",(YEAR(P131)-YEAR(E17))*12+MONTH(P131)-MONTH(E17)+1)</f>
        <v/>
      </c>
      <c r="Q137" s="16" t="str">
        <f aca="false">IF(OR(C17&lt;&gt;"Closed",E17=""),"",(YEAR(Q131)-YEAR(E17))*12+MONTH(Q131)-MONTH(E17)+1)</f>
        <v/>
      </c>
      <c r="R137" s="16" t="str">
        <f aca="false">IF(OR(C17&lt;&gt;"Closed",E17=""),"",(YEAR(R131)-YEAR(E17))*12+MONTH(R131)-MONTH(E17)+1)</f>
        <v/>
      </c>
      <c r="S137" s="16" t="str">
        <f aca="false">IF(OR(C17&lt;&gt;"Closed",E17=""),"",(YEAR(S131)-YEAR(E17))*12+MONTH(S131)-MONTH(E17)+1)</f>
        <v/>
      </c>
      <c r="T137" s="16" t="str">
        <f aca="false">IF(OR(C17&lt;&gt;"Closed",E17=""),"",(YEAR(T131)-YEAR(E17))*12+MONTH(T131)-MONTH(E17)+1)</f>
        <v/>
      </c>
    </row>
    <row r="138" customFormat="false" ht="15" hidden="false" customHeight="false" outlineLevel="0" collapsed="false">
      <c r="A138" s="29" t="str">
        <f aca="false">A18</f>
        <v/>
      </c>
      <c r="B138" s="29" t="str">
        <f aca="false">B18</f>
        <v/>
      </c>
      <c r="I138" s="16" t="str">
        <f aca="false">IF(OR(C18&lt;&gt;"Closed",E18=""),"",(YEAR(I131)-YEAR(E18))*12+MONTH(I131)-MONTH(E18)+1)</f>
        <v/>
      </c>
      <c r="J138" s="16" t="str">
        <f aca="false">IF(OR(C18&lt;&gt;"Closed",E18=""),"",(YEAR(J131)-YEAR(E18))*12+MONTH(J131)-MONTH(E18)+1)</f>
        <v/>
      </c>
      <c r="K138" s="16" t="str">
        <f aca="false">IF(OR(C18&lt;&gt;"Closed",E18=""),"",(YEAR(K131)-YEAR(E18))*12+MONTH(K131)-MONTH(E18)+1)</f>
        <v/>
      </c>
      <c r="L138" s="16" t="str">
        <f aca="false">IF(OR(C18&lt;&gt;"Closed",E18=""),"",(YEAR(L131)-YEAR(E18))*12+MONTH(L131)-MONTH(E18)+1)</f>
        <v/>
      </c>
      <c r="M138" s="16" t="str">
        <f aca="false">IF(OR(C18&lt;&gt;"Closed",E18=""),"",(YEAR(M131)-YEAR(E18))*12+MONTH(M131)-MONTH(E18)+1)</f>
        <v/>
      </c>
      <c r="N138" s="16" t="str">
        <f aca="false">IF(OR(C18&lt;&gt;"Closed",E18=""),"",(YEAR(N131)-YEAR(E18))*12+MONTH(N131)-MONTH(E18)+1)</f>
        <v/>
      </c>
      <c r="O138" s="16" t="str">
        <f aca="false">IF(OR(C18&lt;&gt;"Closed",E18=""),"",(YEAR(O131)-YEAR(E18))*12+MONTH(O131)-MONTH(E18)+1)</f>
        <v/>
      </c>
      <c r="P138" s="16" t="str">
        <f aca="false">IF(OR(C18&lt;&gt;"Closed",E18=""),"",(YEAR(P131)-YEAR(E18))*12+MONTH(P131)-MONTH(E18)+1)</f>
        <v/>
      </c>
      <c r="Q138" s="16" t="str">
        <f aca="false">IF(OR(C18&lt;&gt;"Closed",E18=""),"",(YEAR(Q131)-YEAR(E18))*12+MONTH(Q131)-MONTH(E18)+1)</f>
        <v/>
      </c>
      <c r="R138" s="16" t="str">
        <f aca="false">IF(OR(C18&lt;&gt;"Closed",E18=""),"",(YEAR(R131)-YEAR(E18))*12+MONTH(R131)-MONTH(E18)+1)</f>
        <v/>
      </c>
      <c r="S138" s="16" t="str">
        <f aca="false">IF(OR(C18&lt;&gt;"Closed",E18=""),"",(YEAR(S131)-YEAR(E18))*12+MONTH(S131)-MONTH(E18)+1)</f>
        <v/>
      </c>
      <c r="T138" s="16" t="str">
        <f aca="false">IF(OR(C18&lt;&gt;"Closed",E18=""),"",(YEAR(T131)-YEAR(E18))*12+MONTH(T131)-MONTH(E18)+1)</f>
        <v/>
      </c>
    </row>
    <row r="139" customFormat="false" ht="15" hidden="false" customHeight="false" outlineLevel="0" collapsed="false">
      <c r="A139" s="29" t="str">
        <f aca="false">A19</f>
        <v/>
      </c>
      <c r="B139" s="29" t="str">
        <f aca="false">B19</f>
        <v/>
      </c>
      <c r="I139" s="16" t="str">
        <f aca="false">IF(OR(C19&lt;&gt;"Closed",E19=""),"",(YEAR(I131)-YEAR(E19))*12+MONTH(I131)-MONTH(E19)+1)</f>
        <v/>
      </c>
      <c r="J139" s="16" t="str">
        <f aca="false">IF(OR(C19&lt;&gt;"Closed",E19=""),"",(YEAR(J131)-YEAR(E19))*12+MONTH(J131)-MONTH(E19)+1)</f>
        <v/>
      </c>
      <c r="K139" s="16" t="str">
        <f aca="false">IF(OR(C19&lt;&gt;"Closed",E19=""),"",(YEAR(K131)-YEAR(E19))*12+MONTH(K131)-MONTH(E19)+1)</f>
        <v/>
      </c>
      <c r="L139" s="16" t="str">
        <f aca="false">IF(OR(C19&lt;&gt;"Closed",E19=""),"",(YEAR(L131)-YEAR(E19))*12+MONTH(L131)-MONTH(E19)+1)</f>
        <v/>
      </c>
      <c r="M139" s="16" t="str">
        <f aca="false">IF(OR(C19&lt;&gt;"Closed",E19=""),"",(YEAR(M131)-YEAR(E19))*12+MONTH(M131)-MONTH(E19)+1)</f>
        <v/>
      </c>
      <c r="N139" s="16" t="str">
        <f aca="false">IF(OR(C19&lt;&gt;"Closed",E19=""),"",(YEAR(N131)-YEAR(E19))*12+MONTH(N131)-MONTH(E19)+1)</f>
        <v/>
      </c>
      <c r="O139" s="16" t="str">
        <f aca="false">IF(OR(C19&lt;&gt;"Closed",E19=""),"",(YEAR(O131)-YEAR(E19))*12+MONTH(O131)-MONTH(E19)+1)</f>
        <v/>
      </c>
      <c r="P139" s="16" t="str">
        <f aca="false">IF(OR(C19&lt;&gt;"Closed",E19=""),"",(YEAR(P131)-YEAR(E19))*12+MONTH(P131)-MONTH(E19)+1)</f>
        <v/>
      </c>
      <c r="Q139" s="16" t="str">
        <f aca="false">IF(OR(C19&lt;&gt;"Closed",E19=""),"",(YEAR(Q131)-YEAR(E19))*12+MONTH(Q131)-MONTH(E19)+1)</f>
        <v/>
      </c>
      <c r="R139" s="16" t="str">
        <f aca="false">IF(OR(C19&lt;&gt;"Closed",E19=""),"",(YEAR(R131)-YEAR(E19))*12+MONTH(R131)-MONTH(E19)+1)</f>
        <v/>
      </c>
      <c r="S139" s="16" t="str">
        <f aca="false">IF(OR(C19&lt;&gt;"Closed",E19=""),"",(YEAR(S131)-YEAR(E19))*12+MONTH(S131)-MONTH(E19)+1)</f>
        <v/>
      </c>
      <c r="T139" s="16" t="str">
        <f aca="false">IF(OR(C19&lt;&gt;"Closed",E19=""),"",(YEAR(T131)-YEAR(E19))*12+MONTH(T131)-MONTH(E19)+1)</f>
        <v/>
      </c>
    </row>
    <row r="140" customFormat="false" ht="15" hidden="false" customHeight="false" outlineLevel="0" collapsed="false">
      <c r="A140" s="29" t="str">
        <f aca="false">A20</f>
        <v/>
      </c>
      <c r="B140" s="29" t="str">
        <f aca="false">B20</f>
        <v/>
      </c>
      <c r="I140" s="16" t="str">
        <f aca="false">IF(OR(C20&lt;&gt;"Closed",E20=""),"",(YEAR(I131)-YEAR(E20))*12+MONTH(I131)-MONTH(E20)+1)</f>
        <v/>
      </c>
      <c r="J140" s="16" t="str">
        <f aca="false">IF(OR(C20&lt;&gt;"Closed",E20=""),"",(YEAR(J131)-YEAR(E20))*12+MONTH(J131)-MONTH(E20)+1)</f>
        <v/>
      </c>
      <c r="K140" s="16" t="str">
        <f aca="false">IF(OR(C20&lt;&gt;"Closed",E20=""),"",(YEAR(K131)-YEAR(E20))*12+MONTH(K131)-MONTH(E20)+1)</f>
        <v/>
      </c>
      <c r="L140" s="16" t="str">
        <f aca="false">IF(OR(C20&lt;&gt;"Closed",E20=""),"",(YEAR(L131)-YEAR(E20))*12+MONTH(L131)-MONTH(E20)+1)</f>
        <v/>
      </c>
      <c r="M140" s="16" t="str">
        <f aca="false">IF(OR(C20&lt;&gt;"Closed",E20=""),"",(YEAR(M131)-YEAR(E20))*12+MONTH(M131)-MONTH(E20)+1)</f>
        <v/>
      </c>
      <c r="N140" s="16" t="str">
        <f aca="false">IF(OR(C20&lt;&gt;"Closed",E20=""),"",(YEAR(N131)-YEAR(E20))*12+MONTH(N131)-MONTH(E20)+1)</f>
        <v/>
      </c>
      <c r="O140" s="16" t="str">
        <f aca="false">IF(OR(C20&lt;&gt;"Closed",E20=""),"",(YEAR(O131)-YEAR(E20))*12+MONTH(O131)-MONTH(E20)+1)</f>
        <v/>
      </c>
      <c r="P140" s="16" t="str">
        <f aca="false">IF(OR(C20&lt;&gt;"Closed",E20=""),"",(YEAR(P131)-YEAR(E20))*12+MONTH(P131)-MONTH(E20)+1)</f>
        <v/>
      </c>
      <c r="Q140" s="16" t="str">
        <f aca="false">IF(OR(C20&lt;&gt;"Closed",E20=""),"",(YEAR(Q131)-YEAR(E20))*12+MONTH(Q131)-MONTH(E20)+1)</f>
        <v/>
      </c>
      <c r="R140" s="16" t="str">
        <f aca="false">IF(OR(C20&lt;&gt;"Closed",E20=""),"",(YEAR(R131)-YEAR(E20))*12+MONTH(R131)-MONTH(E20)+1)</f>
        <v/>
      </c>
      <c r="S140" s="16" t="str">
        <f aca="false">IF(OR(C20&lt;&gt;"Closed",E20=""),"",(YEAR(S131)-YEAR(E20))*12+MONTH(S131)-MONTH(E20)+1)</f>
        <v/>
      </c>
      <c r="T140" s="16" t="str">
        <f aca="false">IF(OR(C20&lt;&gt;"Closed",E20=""),"",(YEAR(T131)-YEAR(E20))*12+MONTH(T131)-MONTH(E20)+1)</f>
        <v/>
      </c>
    </row>
    <row r="141" customFormat="false" ht="15" hidden="false" customHeight="false" outlineLevel="0" collapsed="false">
      <c r="A141" s="29" t="str">
        <f aca="false">A21</f>
        <v/>
      </c>
      <c r="B141" s="29" t="str">
        <f aca="false">B21</f>
        <v/>
      </c>
      <c r="I141" s="16" t="str">
        <f aca="false">IF(OR(C21&lt;&gt;"Closed",E21=""),"",(YEAR(I131)-YEAR(E21))*12+MONTH(I131)-MONTH(E21)+1)</f>
        <v/>
      </c>
      <c r="J141" s="16" t="str">
        <f aca="false">IF(OR(C21&lt;&gt;"Closed",E21=""),"",(YEAR(J131)-YEAR(E21))*12+MONTH(J131)-MONTH(E21)+1)</f>
        <v/>
      </c>
      <c r="K141" s="16" t="str">
        <f aca="false">IF(OR(C21&lt;&gt;"Closed",E21=""),"",(YEAR(K131)-YEAR(E21))*12+MONTH(K131)-MONTH(E21)+1)</f>
        <v/>
      </c>
      <c r="L141" s="16" t="str">
        <f aca="false">IF(OR(C21&lt;&gt;"Closed",E21=""),"",(YEAR(L131)-YEAR(E21))*12+MONTH(L131)-MONTH(E21)+1)</f>
        <v/>
      </c>
      <c r="M141" s="16" t="str">
        <f aca="false">IF(OR(C21&lt;&gt;"Closed",E21=""),"",(YEAR(M131)-YEAR(E21))*12+MONTH(M131)-MONTH(E21)+1)</f>
        <v/>
      </c>
      <c r="N141" s="16" t="str">
        <f aca="false">IF(OR(C21&lt;&gt;"Closed",E21=""),"",(YEAR(N131)-YEAR(E21))*12+MONTH(N131)-MONTH(E21)+1)</f>
        <v/>
      </c>
      <c r="O141" s="16" t="str">
        <f aca="false">IF(OR(C21&lt;&gt;"Closed",E21=""),"",(YEAR(O131)-YEAR(E21))*12+MONTH(O131)-MONTH(E21)+1)</f>
        <v/>
      </c>
      <c r="P141" s="16" t="str">
        <f aca="false">IF(OR(C21&lt;&gt;"Closed",E21=""),"",(YEAR(P131)-YEAR(E21))*12+MONTH(P131)-MONTH(E21)+1)</f>
        <v/>
      </c>
      <c r="Q141" s="16" t="str">
        <f aca="false">IF(OR(C21&lt;&gt;"Closed",E21=""),"",(YEAR(Q131)-YEAR(E21))*12+MONTH(Q131)-MONTH(E21)+1)</f>
        <v/>
      </c>
      <c r="R141" s="16" t="str">
        <f aca="false">IF(OR(C21&lt;&gt;"Closed",E21=""),"",(YEAR(R131)-YEAR(E21))*12+MONTH(R131)-MONTH(E21)+1)</f>
        <v/>
      </c>
      <c r="S141" s="16" t="str">
        <f aca="false">IF(OR(C21&lt;&gt;"Closed",E21=""),"",(YEAR(S131)-YEAR(E21))*12+MONTH(S131)-MONTH(E21)+1)</f>
        <v/>
      </c>
      <c r="T141" s="16" t="str">
        <f aca="false">IF(OR(C21&lt;&gt;"Closed",E21=""),"",(YEAR(T131)-YEAR(E21))*12+MONTH(T131)-MONTH(E21)+1)</f>
        <v/>
      </c>
    </row>
    <row r="142" customFormat="false" ht="15" hidden="false" customHeight="false" outlineLevel="0" collapsed="false">
      <c r="A142" s="29" t="str">
        <f aca="false">A22</f>
        <v/>
      </c>
      <c r="B142" s="29" t="str">
        <f aca="false">B22</f>
        <v/>
      </c>
      <c r="I142" s="16" t="str">
        <f aca="false">IF(OR(C22&lt;&gt;"Closed",E22=""),"",(YEAR(I131)-YEAR(E22))*12+MONTH(I131)-MONTH(E22)+1)</f>
        <v/>
      </c>
      <c r="J142" s="16" t="str">
        <f aca="false">IF(OR(C22&lt;&gt;"Closed",E22=""),"",(YEAR(J131)-YEAR(E22))*12+MONTH(J131)-MONTH(E22)+1)</f>
        <v/>
      </c>
      <c r="K142" s="16" t="str">
        <f aca="false">IF(OR(C22&lt;&gt;"Closed",E22=""),"",(YEAR(K131)-YEAR(E22))*12+MONTH(K131)-MONTH(E22)+1)</f>
        <v/>
      </c>
      <c r="L142" s="16" t="str">
        <f aca="false">IF(OR(C22&lt;&gt;"Closed",E22=""),"",(YEAR(L131)-YEAR(E22))*12+MONTH(L131)-MONTH(E22)+1)</f>
        <v/>
      </c>
      <c r="M142" s="16" t="str">
        <f aca="false">IF(OR(C22&lt;&gt;"Closed",E22=""),"",(YEAR(M131)-YEAR(E22))*12+MONTH(M131)-MONTH(E22)+1)</f>
        <v/>
      </c>
      <c r="N142" s="16" t="str">
        <f aca="false">IF(OR(C22&lt;&gt;"Closed",E22=""),"",(YEAR(N131)-YEAR(E22))*12+MONTH(N131)-MONTH(E22)+1)</f>
        <v/>
      </c>
      <c r="O142" s="16" t="str">
        <f aca="false">IF(OR(C22&lt;&gt;"Closed",E22=""),"",(YEAR(O131)-YEAR(E22))*12+MONTH(O131)-MONTH(E22)+1)</f>
        <v/>
      </c>
      <c r="P142" s="16" t="str">
        <f aca="false">IF(OR(C22&lt;&gt;"Closed",E22=""),"",(YEAR(P131)-YEAR(E22))*12+MONTH(P131)-MONTH(E22)+1)</f>
        <v/>
      </c>
      <c r="Q142" s="16" t="str">
        <f aca="false">IF(OR(C22&lt;&gt;"Closed",E22=""),"",(YEAR(Q131)-YEAR(E22))*12+MONTH(Q131)-MONTH(E22)+1)</f>
        <v/>
      </c>
      <c r="R142" s="16" t="str">
        <f aca="false">IF(OR(C22&lt;&gt;"Closed",E22=""),"",(YEAR(R131)-YEAR(E22))*12+MONTH(R131)-MONTH(E22)+1)</f>
        <v/>
      </c>
      <c r="S142" s="16" t="str">
        <f aca="false">IF(OR(C22&lt;&gt;"Closed",E22=""),"",(YEAR(S131)-YEAR(E22))*12+MONTH(S131)-MONTH(E22)+1)</f>
        <v/>
      </c>
      <c r="T142" s="16" t="str">
        <f aca="false">IF(OR(C22&lt;&gt;"Closed",E22=""),"",(YEAR(T131)-YEAR(E22))*12+MONTH(T131)-MONTH(E22)+1)</f>
        <v/>
      </c>
    </row>
    <row r="143" customFormat="false" ht="15" hidden="false" customHeight="false" outlineLevel="0" collapsed="false">
      <c r="A143" s="29" t="str">
        <f aca="false">A23</f>
        <v/>
      </c>
      <c r="B143" s="29" t="str">
        <f aca="false">B23</f>
        <v/>
      </c>
      <c r="I143" s="16" t="str">
        <f aca="false">IF(OR(C23&lt;&gt;"Closed",E23=""),"",(YEAR(I131)-YEAR(E23))*12+MONTH(I131)-MONTH(E23)+1)</f>
        <v/>
      </c>
      <c r="J143" s="16" t="str">
        <f aca="false">IF(OR(C23&lt;&gt;"Closed",E23=""),"",(YEAR(J131)-YEAR(E23))*12+MONTH(J131)-MONTH(E23)+1)</f>
        <v/>
      </c>
      <c r="K143" s="16" t="str">
        <f aca="false">IF(OR(C23&lt;&gt;"Closed",E23=""),"",(YEAR(K131)-YEAR(E23))*12+MONTH(K131)-MONTH(E23)+1)</f>
        <v/>
      </c>
      <c r="L143" s="16" t="str">
        <f aca="false">IF(OR(C23&lt;&gt;"Closed",E23=""),"",(YEAR(L131)-YEAR(E23))*12+MONTH(L131)-MONTH(E23)+1)</f>
        <v/>
      </c>
      <c r="M143" s="16" t="str">
        <f aca="false">IF(OR(C23&lt;&gt;"Closed",E23=""),"",(YEAR(M131)-YEAR(E23))*12+MONTH(M131)-MONTH(E23)+1)</f>
        <v/>
      </c>
      <c r="N143" s="16" t="str">
        <f aca="false">IF(OR(C23&lt;&gt;"Closed",E23=""),"",(YEAR(N131)-YEAR(E23))*12+MONTH(N131)-MONTH(E23)+1)</f>
        <v/>
      </c>
      <c r="O143" s="16" t="str">
        <f aca="false">IF(OR(C23&lt;&gt;"Closed",E23=""),"",(YEAR(O131)-YEAR(E23))*12+MONTH(O131)-MONTH(E23)+1)</f>
        <v/>
      </c>
      <c r="P143" s="16" t="str">
        <f aca="false">IF(OR(C23&lt;&gt;"Closed",E23=""),"",(YEAR(P131)-YEAR(E23))*12+MONTH(P131)-MONTH(E23)+1)</f>
        <v/>
      </c>
      <c r="Q143" s="16" t="str">
        <f aca="false">IF(OR(C23&lt;&gt;"Closed",E23=""),"",(YEAR(Q131)-YEAR(E23))*12+MONTH(Q131)-MONTH(E23)+1)</f>
        <v/>
      </c>
      <c r="R143" s="16" t="str">
        <f aca="false">IF(OR(C23&lt;&gt;"Closed",E23=""),"",(YEAR(R131)-YEAR(E23))*12+MONTH(R131)-MONTH(E23)+1)</f>
        <v/>
      </c>
      <c r="S143" s="16" t="str">
        <f aca="false">IF(OR(C23&lt;&gt;"Closed",E23=""),"",(YEAR(S131)-YEAR(E23))*12+MONTH(S131)-MONTH(E23)+1)</f>
        <v/>
      </c>
      <c r="T143" s="16" t="str">
        <f aca="false">IF(OR(C23&lt;&gt;"Closed",E23=""),"",(YEAR(T131)-YEAR(E23))*12+MONTH(T131)-MONTH(E23)+1)</f>
        <v/>
      </c>
    </row>
    <row r="144" customFormat="false" ht="15" hidden="false" customHeight="false" outlineLevel="0" collapsed="false">
      <c r="A144" s="29" t="str">
        <f aca="false">A24</f>
        <v/>
      </c>
      <c r="B144" s="29" t="str">
        <f aca="false">B24</f>
        <v/>
      </c>
      <c r="I144" s="16" t="str">
        <f aca="false">IF(OR(C24&lt;&gt;"Closed",E24=""),"",(YEAR(I131)-YEAR(E24))*12+MONTH(I131)-MONTH(E24)+1)</f>
        <v/>
      </c>
      <c r="J144" s="16" t="str">
        <f aca="false">IF(OR(C24&lt;&gt;"Closed",E24=""),"",(YEAR(J131)-YEAR(E24))*12+MONTH(J131)-MONTH(E24)+1)</f>
        <v/>
      </c>
      <c r="K144" s="16" t="str">
        <f aca="false">IF(OR(C24&lt;&gt;"Closed",E24=""),"",(YEAR(K131)-YEAR(E24))*12+MONTH(K131)-MONTH(E24)+1)</f>
        <v/>
      </c>
      <c r="L144" s="16" t="str">
        <f aca="false">IF(OR(C24&lt;&gt;"Closed",E24=""),"",(YEAR(L131)-YEAR(E24))*12+MONTH(L131)-MONTH(E24)+1)</f>
        <v/>
      </c>
      <c r="M144" s="16" t="str">
        <f aca="false">IF(OR(C24&lt;&gt;"Closed",E24=""),"",(YEAR(M131)-YEAR(E24))*12+MONTH(M131)-MONTH(E24)+1)</f>
        <v/>
      </c>
      <c r="N144" s="16" t="str">
        <f aca="false">IF(OR(C24&lt;&gt;"Closed",E24=""),"",(YEAR(N131)-YEAR(E24))*12+MONTH(N131)-MONTH(E24)+1)</f>
        <v/>
      </c>
      <c r="O144" s="16" t="str">
        <f aca="false">IF(OR(C24&lt;&gt;"Closed",E24=""),"",(YEAR(O131)-YEAR(E24))*12+MONTH(O131)-MONTH(E24)+1)</f>
        <v/>
      </c>
      <c r="P144" s="16" t="str">
        <f aca="false">IF(OR(C24&lt;&gt;"Closed",E24=""),"",(YEAR(P131)-YEAR(E24))*12+MONTH(P131)-MONTH(E24)+1)</f>
        <v/>
      </c>
      <c r="Q144" s="16" t="str">
        <f aca="false">IF(OR(C24&lt;&gt;"Closed",E24=""),"",(YEAR(Q131)-YEAR(E24))*12+MONTH(Q131)-MONTH(E24)+1)</f>
        <v/>
      </c>
      <c r="R144" s="16" t="str">
        <f aca="false">IF(OR(C24&lt;&gt;"Closed",E24=""),"",(YEAR(R131)-YEAR(E24))*12+MONTH(R131)-MONTH(E24)+1)</f>
        <v/>
      </c>
      <c r="S144" s="16" t="str">
        <f aca="false">IF(OR(C24&lt;&gt;"Closed",E24=""),"",(YEAR(S131)-YEAR(E24))*12+MONTH(S131)-MONTH(E24)+1)</f>
        <v/>
      </c>
      <c r="T144" s="16" t="str">
        <f aca="false">IF(OR(C24&lt;&gt;"Closed",E24=""),"",(YEAR(T131)-YEAR(E24))*12+MONTH(T131)-MONTH(E24)+1)</f>
        <v/>
      </c>
    </row>
    <row r="145" customFormat="false" ht="15" hidden="false" customHeight="false" outlineLevel="0" collapsed="false">
      <c r="A145" s="29" t="str">
        <f aca="false">A25</f>
        <v/>
      </c>
      <c r="B145" s="29" t="str">
        <f aca="false">B25</f>
        <v/>
      </c>
      <c r="I145" s="16" t="str">
        <f aca="false">IF(OR(C25&lt;&gt;"Closed",E25=""),"",(YEAR(I131)-YEAR(E25))*12+MONTH(I131)-MONTH(E25)+1)</f>
        <v/>
      </c>
      <c r="J145" s="16" t="str">
        <f aca="false">IF(OR(C25&lt;&gt;"Closed",E25=""),"",(YEAR(J131)-YEAR(E25))*12+MONTH(J131)-MONTH(E25)+1)</f>
        <v/>
      </c>
      <c r="K145" s="16" t="str">
        <f aca="false">IF(OR(C25&lt;&gt;"Closed",E25=""),"",(YEAR(K131)-YEAR(E25))*12+MONTH(K131)-MONTH(E25)+1)</f>
        <v/>
      </c>
      <c r="L145" s="16" t="str">
        <f aca="false">IF(OR(C25&lt;&gt;"Closed",E25=""),"",(YEAR(L131)-YEAR(E25))*12+MONTH(L131)-MONTH(E25)+1)</f>
        <v/>
      </c>
      <c r="M145" s="16" t="str">
        <f aca="false">IF(OR(C25&lt;&gt;"Closed",E25=""),"",(YEAR(M131)-YEAR(E25))*12+MONTH(M131)-MONTH(E25)+1)</f>
        <v/>
      </c>
      <c r="N145" s="16" t="str">
        <f aca="false">IF(OR(C25&lt;&gt;"Closed",E25=""),"",(YEAR(N131)-YEAR(E25))*12+MONTH(N131)-MONTH(E25)+1)</f>
        <v/>
      </c>
      <c r="O145" s="16" t="str">
        <f aca="false">IF(OR(C25&lt;&gt;"Closed",E25=""),"",(YEAR(O131)-YEAR(E25))*12+MONTH(O131)-MONTH(E25)+1)</f>
        <v/>
      </c>
      <c r="P145" s="16" t="str">
        <f aca="false">IF(OR(C25&lt;&gt;"Closed",E25=""),"",(YEAR(P131)-YEAR(E25))*12+MONTH(P131)-MONTH(E25)+1)</f>
        <v/>
      </c>
      <c r="Q145" s="16" t="str">
        <f aca="false">IF(OR(C25&lt;&gt;"Closed",E25=""),"",(YEAR(Q131)-YEAR(E25))*12+MONTH(Q131)-MONTH(E25)+1)</f>
        <v/>
      </c>
      <c r="R145" s="16" t="str">
        <f aca="false">IF(OR(C25&lt;&gt;"Closed",E25=""),"",(YEAR(R131)-YEAR(E25))*12+MONTH(R131)-MONTH(E25)+1)</f>
        <v/>
      </c>
      <c r="S145" s="16" t="str">
        <f aca="false">IF(OR(C25&lt;&gt;"Closed",E25=""),"",(YEAR(S131)-YEAR(E25))*12+MONTH(S131)-MONTH(E25)+1)</f>
        <v/>
      </c>
      <c r="T145" s="16" t="str">
        <f aca="false">IF(OR(C25&lt;&gt;"Closed",E25=""),"",(YEAR(T131)-YEAR(E25))*12+MONTH(T131)-MONTH(E25)+1)</f>
        <v/>
      </c>
    </row>
    <row r="146" customFormat="false" ht="15" hidden="false" customHeight="false" outlineLevel="0" collapsed="false">
      <c r="A146" s="29" t="str">
        <f aca="false">A26</f>
        <v/>
      </c>
      <c r="B146" s="29" t="str">
        <f aca="false">B26</f>
        <v/>
      </c>
      <c r="I146" s="16" t="str">
        <f aca="false">IF(OR(C26&lt;&gt;"Closed",E26=""),"",(YEAR(I131)-YEAR(E26))*12+MONTH(I131)-MONTH(E26)+1)</f>
        <v/>
      </c>
      <c r="J146" s="16" t="str">
        <f aca="false">IF(OR(C26&lt;&gt;"Closed",E26=""),"",(YEAR(J131)-YEAR(E26))*12+MONTH(J131)-MONTH(E26)+1)</f>
        <v/>
      </c>
      <c r="K146" s="16" t="str">
        <f aca="false">IF(OR(C26&lt;&gt;"Closed",E26=""),"",(YEAR(K131)-YEAR(E26))*12+MONTH(K131)-MONTH(E26)+1)</f>
        <v/>
      </c>
      <c r="L146" s="16" t="str">
        <f aca="false">IF(OR(C26&lt;&gt;"Closed",E26=""),"",(YEAR(L131)-YEAR(E26))*12+MONTH(L131)-MONTH(E26)+1)</f>
        <v/>
      </c>
      <c r="M146" s="16" t="str">
        <f aca="false">IF(OR(C26&lt;&gt;"Closed",E26=""),"",(YEAR(M131)-YEAR(E26))*12+MONTH(M131)-MONTH(E26)+1)</f>
        <v/>
      </c>
      <c r="N146" s="16" t="str">
        <f aca="false">IF(OR(C26&lt;&gt;"Closed",E26=""),"",(YEAR(N131)-YEAR(E26))*12+MONTH(N131)-MONTH(E26)+1)</f>
        <v/>
      </c>
      <c r="O146" s="16" t="str">
        <f aca="false">IF(OR(C26&lt;&gt;"Closed",E26=""),"",(YEAR(O131)-YEAR(E26))*12+MONTH(O131)-MONTH(E26)+1)</f>
        <v/>
      </c>
      <c r="P146" s="16" t="str">
        <f aca="false">IF(OR(C26&lt;&gt;"Closed",E26=""),"",(YEAR(P131)-YEAR(E26))*12+MONTH(P131)-MONTH(E26)+1)</f>
        <v/>
      </c>
      <c r="Q146" s="16" t="str">
        <f aca="false">IF(OR(C26&lt;&gt;"Closed",E26=""),"",(YEAR(Q131)-YEAR(E26))*12+MONTH(Q131)-MONTH(E26)+1)</f>
        <v/>
      </c>
      <c r="R146" s="16" t="str">
        <f aca="false">IF(OR(C26&lt;&gt;"Closed",E26=""),"",(YEAR(R131)-YEAR(E26))*12+MONTH(R131)-MONTH(E26)+1)</f>
        <v/>
      </c>
      <c r="S146" s="16" t="str">
        <f aca="false">IF(OR(C26&lt;&gt;"Closed",E26=""),"",(YEAR(S131)-YEAR(E26))*12+MONTH(S131)-MONTH(E26)+1)</f>
        <v/>
      </c>
      <c r="T146" s="16" t="str">
        <f aca="false">IF(OR(C26&lt;&gt;"Closed",E26=""),"",(YEAR(T131)-YEAR(E26))*12+MONTH(T131)-MONTH(E26)+1)</f>
        <v/>
      </c>
    </row>
    <row r="147" customFormat="false" ht="15" hidden="false" customHeight="false" outlineLevel="0" collapsed="false">
      <c r="A147" s="29" t="str">
        <f aca="false">A27</f>
        <v/>
      </c>
      <c r="B147" s="29" t="str">
        <f aca="false">B27</f>
        <v/>
      </c>
      <c r="I147" s="16" t="str">
        <f aca="false">IF(OR(C27&lt;&gt;"Closed",E27=""),"",(YEAR(I131)-YEAR(E27))*12+MONTH(I131)-MONTH(E27)+1)</f>
        <v/>
      </c>
      <c r="J147" s="16" t="str">
        <f aca="false">IF(OR(C27&lt;&gt;"Closed",E27=""),"",(YEAR(J131)-YEAR(E27))*12+MONTH(J131)-MONTH(E27)+1)</f>
        <v/>
      </c>
      <c r="K147" s="16" t="str">
        <f aca="false">IF(OR(C27&lt;&gt;"Closed",E27=""),"",(YEAR(K131)-YEAR(E27))*12+MONTH(K131)-MONTH(E27)+1)</f>
        <v/>
      </c>
      <c r="L147" s="16" t="str">
        <f aca="false">IF(OR(C27&lt;&gt;"Closed",E27=""),"",(YEAR(L131)-YEAR(E27))*12+MONTH(L131)-MONTH(E27)+1)</f>
        <v/>
      </c>
      <c r="M147" s="16" t="str">
        <f aca="false">IF(OR(C27&lt;&gt;"Closed",E27=""),"",(YEAR(M131)-YEAR(E27))*12+MONTH(M131)-MONTH(E27)+1)</f>
        <v/>
      </c>
      <c r="N147" s="16" t="str">
        <f aca="false">IF(OR(C27&lt;&gt;"Closed",E27=""),"",(YEAR(N131)-YEAR(E27))*12+MONTH(N131)-MONTH(E27)+1)</f>
        <v/>
      </c>
      <c r="O147" s="16" t="str">
        <f aca="false">IF(OR(C27&lt;&gt;"Closed",E27=""),"",(YEAR(O131)-YEAR(E27))*12+MONTH(O131)-MONTH(E27)+1)</f>
        <v/>
      </c>
      <c r="P147" s="16" t="str">
        <f aca="false">IF(OR(C27&lt;&gt;"Closed",E27=""),"",(YEAR(P131)-YEAR(E27))*12+MONTH(P131)-MONTH(E27)+1)</f>
        <v/>
      </c>
      <c r="Q147" s="16" t="str">
        <f aca="false">IF(OR(C27&lt;&gt;"Closed",E27=""),"",(YEAR(Q131)-YEAR(E27))*12+MONTH(Q131)-MONTH(E27)+1)</f>
        <v/>
      </c>
      <c r="R147" s="16" t="str">
        <f aca="false">IF(OR(C27&lt;&gt;"Closed",E27=""),"",(YEAR(R131)-YEAR(E27))*12+MONTH(R131)-MONTH(E27)+1)</f>
        <v/>
      </c>
      <c r="S147" s="16" t="str">
        <f aca="false">IF(OR(C27&lt;&gt;"Closed",E27=""),"",(YEAR(S131)-YEAR(E27))*12+MONTH(S131)-MONTH(E27)+1)</f>
        <v/>
      </c>
      <c r="T147" s="16" t="str">
        <f aca="false">IF(OR(C27&lt;&gt;"Closed",E27=""),"",(YEAR(T131)-YEAR(E27))*12+MONTH(T131)-MONTH(E27)+1)</f>
        <v/>
      </c>
    </row>
    <row r="148" customFormat="false" ht="15" hidden="false" customHeight="false" outlineLevel="0" collapsed="false">
      <c r="A148" s="29" t="str">
        <f aca="false">A28</f>
        <v/>
      </c>
      <c r="B148" s="29" t="str">
        <f aca="false">B28</f>
        <v/>
      </c>
      <c r="I148" s="16" t="str">
        <f aca="false">IF(OR(C28&lt;&gt;"Closed",E28=""),"",(YEAR(I131)-YEAR(E28))*12+MONTH(I131)-MONTH(E28)+1)</f>
        <v/>
      </c>
      <c r="J148" s="16" t="str">
        <f aca="false">IF(OR(C28&lt;&gt;"Closed",E28=""),"",(YEAR(J131)-YEAR(E28))*12+MONTH(J131)-MONTH(E28)+1)</f>
        <v/>
      </c>
      <c r="K148" s="16" t="str">
        <f aca="false">IF(OR(C28&lt;&gt;"Closed",E28=""),"",(YEAR(K131)-YEAR(E28))*12+MONTH(K131)-MONTH(E28)+1)</f>
        <v/>
      </c>
      <c r="L148" s="16" t="str">
        <f aca="false">IF(OR(C28&lt;&gt;"Closed",E28=""),"",(YEAR(L131)-YEAR(E28))*12+MONTH(L131)-MONTH(E28)+1)</f>
        <v/>
      </c>
      <c r="M148" s="16" t="str">
        <f aca="false">IF(OR(C28&lt;&gt;"Closed",E28=""),"",(YEAR(M131)-YEAR(E28))*12+MONTH(M131)-MONTH(E28)+1)</f>
        <v/>
      </c>
      <c r="N148" s="16" t="str">
        <f aca="false">IF(OR(C28&lt;&gt;"Closed",E28=""),"",(YEAR(N131)-YEAR(E28))*12+MONTH(N131)-MONTH(E28)+1)</f>
        <v/>
      </c>
      <c r="O148" s="16" t="str">
        <f aca="false">IF(OR(C28&lt;&gt;"Closed",E28=""),"",(YEAR(O131)-YEAR(E28))*12+MONTH(O131)-MONTH(E28)+1)</f>
        <v/>
      </c>
      <c r="P148" s="16" t="str">
        <f aca="false">IF(OR(C28&lt;&gt;"Closed",E28=""),"",(YEAR(P131)-YEAR(E28))*12+MONTH(P131)-MONTH(E28)+1)</f>
        <v/>
      </c>
      <c r="Q148" s="16" t="str">
        <f aca="false">IF(OR(C28&lt;&gt;"Closed",E28=""),"",(YEAR(Q131)-YEAR(E28))*12+MONTH(Q131)-MONTH(E28)+1)</f>
        <v/>
      </c>
      <c r="R148" s="16" t="str">
        <f aca="false">IF(OR(C28&lt;&gt;"Closed",E28=""),"",(YEAR(R131)-YEAR(E28))*12+MONTH(R131)-MONTH(E28)+1)</f>
        <v/>
      </c>
      <c r="S148" s="16" t="str">
        <f aca="false">IF(OR(C28&lt;&gt;"Closed",E28=""),"",(YEAR(S131)-YEAR(E28))*12+MONTH(S131)-MONTH(E28)+1)</f>
        <v/>
      </c>
      <c r="T148" s="16" t="str">
        <f aca="false">IF(OR(C28&lt;&gt;"Closed",E28=""),"",(YEAR(T131)-YEAR(E28))*12+MONTH(T131)-MONTH(E28)+1)</f>
        <v/>
      </c>
    </row>
    <row r="149" customFormat="false" ht="15" hidden="false" customHeight="false" outlineLevel="0" collapsed="false">
      <c r="A149" s="29" t="str">
        <f aca="false">A29</f>
        <v/>
      </c>
      <c r="B149" s="29" t="str">
        <f aca="false">B29</f>
        <v/>
      </c>
      <c r="I149" s="16" t="str">
        <f aca="false">IF(OR(C29&lt;&gt;"Closed",E29=""),"",(YEAR(I131)-YEAR(E29))*12+MONTH(I131)-MONTH(E29)+1)</f>
        <v/>
      </c>
      <c r="J149" s="16" t="str">
        <f aca="false">IF(OR(C29&lt;&gt;"Closed",E29=""),"",(YEAR(J131)-YEAR(E29))*12+MONTH(J131)-MONTH(E29)+1)</f>
        <v/>
      </c>
      <c r="K149" s="16" t="str">
        <f aca="false">IF(OR(C29&lt;&gt;"Closed",E29=""),"",(YEAR(K131)-YEAR(E29))*12+MONTH(K131)-MONTH(E29)+1)</f>
        <v/>
      </c>
      <c r="L149" s="16" t="str">
        <f aca="false">IF(OR(C29&lt;&gt;"Closed",E29=""),"",(YEAR(L131)-YEAR(E29))*12+MONTH(L131)-MONTH(E29)+1)</f>
        <v/>
      </c>
      <c r="M149" s="16" t="str">
        <f aca="false">IF(OR(C29&lt;&gt;"Closed",E29=""),"",(YEAR(M131)-YEAR(E29))*12+MONTH(M131)-MONTH(E29)+1)</f>
        <v/>
      </c>
      <c r="N149" s="16" t="str">
        <f aca="false">IF(OR(C29&lt;&gt;"Closed",E29=""),"",(YEAR(N131)-YEAR(E29))*12+MONTH(N131)-MONTH(E29)+1)</f>
        <v/>
      </c>
      <c r="O149" s="16" t="str">
        <f aca="false">IF(OR(C29&lt;&gt;"Closed",E29=""),"",(YEAR(O131)-YEAR(E29))*12+MONTH(O131)-MONTH(E29)+1)</f>
        <v/>
      </c>
      <c r="P149" s="16" t="str">
        <f aca="false">IF(OR(C29&lt;&gt;"Closed",E29=""),"",(YEAR(P131)-YEAR(E29))*12+MONTH(P131)-MONTH(E29)+1)</f>
        <v/>
      </c>
      <c r="Q149" s="16" t="str">
        <f aca="false">IF(OR(C29&lt;&gt;"Closed",E29=""),"",(YEAR(Q131)-YEAR(E29))*12+MONTH(Q131)-MONTH(E29)+1)</f>
        <v/>
      </c>
      <c r="R149" s="16" t="str">
        <f aca="false">IF(OR(C29&lt;&gt;"Closed",E29=""),"",(YEAR(R131)-YEAR(E29))*12+MONTH(R131)-MONTH(E29)+1)</f>
        <v/>
      </c>
      <c r="S149" s="16" t="str">
        <f aca="false">IF(OR(C29&lt;&gt;"Closed",E29=""),"",(YEAR(S131)-YEAR(E29))*12+MONTH(S131)-MONTH(E29)+1)</f>
        <v/>
      </c>
      <c r="T149" s="16" t="str">
        <f aca="false">IF(OR(C29&lt;&gt;"Closed",E29=""),"",(YEAR(T131)-YEAR(E29))*12+MONTH(T131)-MONTH(E29)+1)</f>
        <v/>
      </c>
    </row>
    <row r="150" customFormat="false" ht="15" hidden="false" customHeight="false" outlineLevel="0" collapsed="false">
      <c r="A150" s="29" t="str">
        <f aca="false">A30</f>
        <v/>
      </c>
      <c r="B150" s="29" t="str">
        <f aca="false">B30</f>
        <v/>
      </c>
      <c r="I150" s="16" t="str">
        <f aca="false">IF(OR(C30&lt;&gt;"Closed",E30=""),"",(YEAR(I131)-YEAR(E30))*12+MONTH(I131)-MONTH(E30)+1)</f>
        <v/>
      </c>
      <c r="J150" s="16" t="str">
        <f aca="false">IF(OR(C30&lt;&gt;"Closed",E30=""),"",(YEAR(J131)-YEAR(E30))*12+MONTH(J131)-MONTH(E30)+1)</f>
        <v/>
      </c>
      <c r="K150" s="16" t="str">
        <f aca="false">IF(OR(C30&lt;&gt;"Closed",E30=""),"",(YEAR(K131)-YEAR(E30))*12+MONTH(K131)-MONTH(E30)+1)</f>
        <v/>
      </c>
      <c r="L150" s="16" t="str">
        <f aca="false">IF(OR(C30&lt;&gt;"Closed",E30=""),"",(YEAR(L131)-YEAR(E30))*12+MONTH(L131)-MONTH(E30)+1)</f>
        <v/>
      </c>
      <c r="M150" s="16" t="str">
        <f aca="false">IF(OR(C30&lt;&gt;"Closed",E30=""),"",(YEAR(M131)-YEAR(E30))*12+MONTH(M131)-MONTH(E30)+1)</f>
        <v/>
      </c>
      <c r="N150" s="16" t="str">
        <f aca="false">IF(OR(C30&lt;&gt;"Closed",E30=""),"",(YEAR(N131)-YEAR(E30))*12+MONTH(N131)-MONTH(E30)+1)</f>
        <v/>
      </c>
      <c r="O150" s="16" t="str">
        <f aca="false">IF(OR(C30&lt;&gt;"Closed",E30=""),"",(YEAR(O131)-YEAR(E30))*12+MONTH(O131)-MONTH(E30)+1)</f>
        <v/>
      </c>
      <c r="P150" s="16" t="str">
        <f aca="false">IF(OR(C30&lt;&gt;"Closed",E30=""),"",(YEAR(P131)-YEAR(E30))*12+MONTH(P131)-MONTH(E30)+1)</f>
        <v/>
      </c>
      <c r="Q150" s="16" t="str">
        <f aca="false">IF(OR(C30&lt;&gt;"Closed",E30=""),"",(YEAR(Q131)-YEAR(E30))*12+MONTH(Q131)-MONTH(E30)+1)</f>
        <v/>
      </c>
      <c r="R150" s="16" t="str">
        <f aca="false">IF(OR(C30&lt;&gt;"Closed",E30=""),"",(YEAR(R131)-YEAR(E30))*12+MONTH(R131)-MONTH(E30)+1)</f>
        <v/>
      </c>
      <c r="S150" s="16" t="str">
        <f aca="false">IF(OR(C30&lt;&gt;"Closed",E30=""),"",(YEAR(S131)-YEAR(E30))*12+MONTH(S131)-MONTH(E30)+1)</f>
        <v/>
      </c>
      <c r="T150" s="16" t="str">
        <f aca="false">IF(OR(C30&lt;&gt;"Closed",E30=""),"",(YEAR(T131)-YEAR(E30))*12+MONTH(T131)-MONTH(E30)+1)</f>
        <v/>
      </c>
    </row>
    <row r="151" customFormat="false" ht="15" hidden="false" customHeight="false" outlineLevel="0" collapsed="false">
      <c r="A151" s="29" t="str">
        <f aca="false">A31</f>
        <v/>
      </c>
      <c r="B151" s="29" t="str">
        <f aca="false">B31</f>
        <v/>
      </c>
      <c r="I151" s="16" t="str">
        <f aca="false">IF(OR(C31&lt;&gt;"Closed",E31=""),"",(YEAR(I131)-YEAR(E31))*12+MONTH(I131)-MONTH(E31)+1)</f>
        <v/>
      </c>
      <c r="J151" s="16" t="str">
        <f aca="false">IF(OR(C31&lt;&gt;"Closed",E31=""),"",(YEAR(J131)-YEAR(E31))*12+MONTH(J131)-MONTH(E31)+1)</f>
        <v/>
      </c>
      <c r="K151" s="16" t="str">
        <f aca="false">IF(OR(C31&lt;&gt;"Closed",E31=""),"",(YEAR(K131)-YEAR(E31))*12+MONTH(K131)-MONTH(E31)+1)</f>
        <v/>
      </c>
      <c r="L151" s="16" t="str">
        <f aca="false">IF(OR(C31&lt;&gt;"Closed",E31=""),"",(YEAR(L131)-YEAR(E31))*12+MONTH(L131)-MONTH(E31)+1)</f>
        <v/>
      </c>
      <c r="M151" s="16" t="str">
        <f aca="false">IF(OR(C31&lt;&gt;"Closed",E31=""),"",(YEAR(M131)-YEAR(E31))*12+MONTH(M131)-MONTH(E31)+1)</f>
        <v/>
      </c>
      <c r="N151" s="16" t="str">
        <f aca="false">IF(OR(C31&lt;&gt;"Closed",E31=""),"",(YEAR(N131)-YEAR(E31))*12+MONTH(N131)-MONTH(E31)+1)</f>
        <v/>
      </c>
      <c r="O151" s="16" t="str">
        <f aca="false">IF(OR(C31&lt;&gt;"Closed",E31=""),"",(YEAR(O131)-YEAR(E31))*12+MONTH(O131)-MONTH(E31)+1)</f>
        <v/>
      </c>
      <c r="P151" s="16" t="str">
        <f aca="false">IF(OR(C31&lt;&gt;"Closed",E31=""),"",(YEAR(P131)-YEAR(E31))*12+MONTH(P131)-MONTH(E31)+1)</f>
        <v/>
      </c>
      <c r="Q151" s="16" t="str">
        <f aca="false">IF(OR(C31&lt;&gt;"Closed",E31=""),"",(YEAR(Q131)-YEAR(E31))*12+MONTH(Q131)-MONTH(E31)+1)</f>
        <v/>
      </c>
      <c r="R151" s="16" t="str">
        <f aca="false">IF(OR(C31&lt;&gt;"Closed",E31=""),"",(YEAR(R131)-YEAR(E31))*12+MONTH(R131)-MONTH(E31)+1)</f>
        <v/>
      </c>
      <c r="S151" s="16" t="str">
        <f aca="false">IF(OR(C31&lt;&gt;"Closed",E31=""),"",(YEAR(S131)-YEAR(E31))*12+MONTH(S131)-MONTH(E31)+1)</f>
        <v/>
      </c>
      <c r="T151" s="16" t="str">
        <f aca="false">IF(OR(C31&lt;&gt;"Closed",E31=""),"",(YEAR(T131)-YEAR(E31))*12+MONTH(T131)-MONTH(E31)+1)</f>
        <v/>
      </c>
    </row>
    <row r="152" customFormat="false" ht="15" hidden="false" customHeight="false" outlineLevel="0" collapsed="false">
      <c r="A152" s="29" t="str">
        <f aca="false">A32</f>
        <v/>
      </c>
      <c r="B152" s="29" t="str">
        <f aca="false">B32</f>
        <v/>
      </c>
      <c r="I152" s="16" t="str">
        <f aca="false">IF(OR(C32&lt;&gt;"Closed",E32=""),"",(YEAR(I131)-YEAR(E32))*12+MONTH(I131)-MONTH(E32)+1)</f>
        <v/>
      </c>
      <c r="J152" s="16" t="str">
        <f aca="false">IF(OR(C32&lt;&gt;"Closed",E32=""),"",(YEAR(J131)-YEAR(E32))*12+MONTH(J131)-MONTH(E32)+1)</f>
        <v/>
      </c>
      <c r="K152" s="16" t="str">
        <f aca="false">IF(OR(C32&lt;&gt;"Closed",E32=""),"",(YEAR(K131)-YEAR(E32))*12+MONTH(K131)-MONTH(E32)+1)</f>
        <v/>
      </c>
      <c r="L152" s="16" t="str">
        <f aca="false">IF(OR(C32&lt;&gt;"Closed",E32=""),"",(YEAR(L131)-YEAR(E32))*12+MONTH(L131)-MONTH(E32)+1)</f>
        <v/>
      </c>
      <c r="M152" s="16" t="str">
        <f aca="false">IF(OR(C32&lt;&gt;"Closed",E32=""),"",(YEAR(M131)-YEAR(E32))*12+MONTH(M131)-MONTH(E32)+1)</f>
        <v/>
      </c>
      <c r="N152" s="16" t="str">
        <f aca="false">IF(OR(C32&lt;&gt;"Closed",E32=""),"",(YEAR(N131)-YEAR(E32))*12+MONTH(N131)-MONTH(E32)+1)</f>
        <v/>
      </c>
      <c r="O152" s="16" t="str">
        <f aca="false">IF(OR(C32&lt;&gt;"Closed",E32=""),"",(YEAR(O131)-YEAR(E32))*12+MONTH(O131)-MONTH(E32)+1)</f>
        <v/>
      </c>
      <c r="P152" s="16" t="str">
        <f aca="false">IF(OR(C32&lt;&gt;"Closed",E32=""),"",(YEAR(P131)-YEAR(E32))*12+MONTH(P131)-MONTH(E32)+1)</f>
        <v/>
      </c>
      <c r="Q152" s="16" t="str">
        <f aca="false">IF(OR(C32&lt;&gt;"Closed",E32=""),"",(YEAR(Q131)-YEAR(E32))*12+MONTH(Q131)-MONTH(E32)+1)</f>
        <v/>
      </c>
      <c r="R152" s="16" t="str">
        <f aca="false">IF(OR(C32&lt;&gt;"Closed",E32=""),"",(YEAR(R131)-YEAR(E32))*12+MONTH(R131)-MONTH(E32)+1)</f>
        <v/>
      </c>
      <c r="S152" s="16" t="str">
        <f aca="false">IF(OR(C32&lt;&gt;"Closed",E32=""),"",(YEAR(S131)-YEAR(E32))*12+MONTH(S131)-MONTH(E32)+1)</f>
        <v/>
      </c>
      <c r="T152" s="16" t="str">
        <f aca="false">IF(OR(C32&lt;&gt;"Closed",E32=""),"",(YEAR(T131)-YEAR(E32))*12+MONTH(T131)-MONTH(E32)+1)</f>
        <v/>
      </c>
    </row>
    <row r="153" customFormat="false" ht="15" hidden="false" customHeight="false" outlineLevel="0" collapsed="false">
      <c r="A153" s="29" t="str">
        <f aca="false">A33</f>
        <v/>
      </c>
      <c r="B153" s="29" t="str">
        <f aca="false">B33</f>
        <v/>
      </c>
      <c r="I153" s="16" t="str">
        <f aca="false">IF(OR(C33&lt;&gt;"Closed",E33=""),"",(YEAR(I131)-YEAR(E33))*12+MONTH(I131)-MONTH(E33)+1)</f>
        <v/>
      </c>
      <c r="J153" s="16" t="str">
        <f aca="false">IF(OR(C33&lt;&gt;"Closed",E33=""),"",(YEAR(J131)-YEAR(E33))*12+MONTH(J131)-MONTH(E33)+1)</f>
        <v/>
      </c>
      <c r="K153" s="16" t="str">
        <f aca="false">IF(OR(C33&lt;&gt;"Closed",E33=""),"",(YEAR(K131)-YEAR(E33))*12+MONTH(K131)-MONTH(E33)+1)</f>
        <v/>
      </c>
      <c r="L153" s="16" t="str">
        <f aca="false">IF(OR(C33&lt;&gt;"Closed",E33=""),"",(YEAR(L131)-YEAR(E33))*12+MONTH(L131)-MONTH(E33)+1)</f>
        <v/>
      </c>
      <c r="M153" s="16" t="str">
        <f aca="false">IF(OR(C33&lt;&gt;"Closed",E33=""),"",(YEAR(M131)-YEAR(E33))*12+MONTH(M131)-MONTH(E33)+1)</f>
        <v/>
      </c>
      <c r="N153" s="16" t="str">
        <f aca="false">IF(OR(C33&lt;&gt;"Closed",E33=""),"",(YEAR(N131)-YEAR(E33))*12+MONTH(N131)-MONTH(E33)+1)</f>
        <v/>
      </c>
      <c r="O153" s="16" t="str">
        <f aca="false">IF(OR(C33&lt;&gt;"Closed",E33=""),"",(YEAR(O131)-YEAR(E33))*12+MONTH(O131)-MONTH(E33)+1)</f>
        <v/>
      </c>
      <c r="P153" s="16" t="str">
        <f aca="false">IF(OR(C33&lt;&gt;"Closed",E33=""),"",(YEAR(P131)-YEAR(E33))*12+MONTH(P131)-MONTH(E33)+1)</f>
        <v/>
      </c>
      <c r="Q153" s="16" t="str">
        <f aca="false">IF(OR(C33&lt;&gt;"Closed",E33=""),"",(YEAR(Q131)-YEAR(E33))*12+MONTH(Q131)-MONTH(E33)+1)</f>
        <v/>
      </c>
      <c r="R153" s="16" t="str">
        <f aca="false">IF(OR(C33&lt;&gt;"Closed",E33=""),"",(YEAR(R131)-YEAR(E33))*12+MONTH(R131)-MONTH(E33)+1)</f>
        <v/>
      </c>
      <c r="S153" s="16" t="str">
        <f aca="false">IF(OR(C33&lt;&gt;"Closed",E33=""),"",(YEAR(S131)-YEAR(E33))*12+MONTH(S131)-MONTH(E33)+1)</f>
        <v/>
      </c>
      <c r="T153" s="16" t="str">
        <f aca="false">IF(OR(C33&lt;&gt;"Closed",E33=""),"",(YEAR(T131)-YEAR(E33))*12+MONTH(T131)-MONTH(E33)+1)</f>
        <v/>
      </c>
    </row>
    <row r="154" customFormat="false" ht="15" hidden="false" customHeight="false" outlineLevel="0" collapsed="false">
      <c r="A154" s="29" t="str">
        <f aca="false">A34</f>
        <v/>
      </c>
      <c r="B154" s="29" t="str">
        <f aca="false">B34</f>
        <v/>
      </c>
      <c r="I154" s="16" t="str">
        <f aca="false">IF(OR(C34&lt;&gt;"Closed",E34=""),"",(YEAR(I131)-YEAR(E34))*12+MONTH(I131)-MONTH(E34)+1)</f>
        <v/>
      </c>
      <c r="J154" s="16" t="str">
        <f aca="false">IF(OR(C34&lt;&gt;"Closed",E34=""),"",(YEAR(J131)-YEAR(E34))*12+MONTH(J131)-MONTH(E34)+1)</f>
        <v/>
      </c>
      <c r="K154" s="16" t="str">
        <f aca="false">IF(OR(C34&lt;&gt;"Closed",E34=""),"",(YEAR(K131)-YEAR(E34))*12+MONTH(K131)-MONTH(E34)+1)</f>
        <v/>
      </c>
      <c r="L154" s="16" t="str">
        <f aca="false">IF(OR(C34&lt;&gt;"Closed",E34=""),"",(YEAR(L131)-YEAR(E34))*12+MONTH(L131)-MONTH(E34)+1)</f>
        <v/>
      </c>
      <c r="M154" s="16" t="str">
        <f aca="false">IF(OR(C34&lt;&gt;"Closed",E34=""),"",(YEAR(M131)-YEAR(E34))*12+MONTH(M131)-MONTH(E34)+1)</f>
        <v/>
      </c>
      <c r="N154" s="16" t="str">
        <f aca="false">IF(OR(C34&lt;&gt;"Closed",E34=""),"",(YEAR(N131)-YEAR(E34))*12+MONTH(N131)-MONTH(E34)+1)</f>
        <v/>
      </c>
      <c r="O154" s="16" t="str">
        <f aca="false">IF(OR(C34&lt;&gt;"Closed",E34=""),"",(YEAR(O131)-YEAR(E34))*12+MONTH(O131)-MONTH(E34)+1)</f>
        <v/>
      </c>
      <c r="P154" s="16" t="str">
        <f aca="false">IF(OR(C34&lt;&gt;"Closed",E34=""),"",(YEAR(P131)-YEAR(E34))*12+MONTH(P131)-MONTH(E34)+1)</f>
        <v/>
      </c>
      <c r="Q154" s="16" t="str">
        <f aca="false">IF(OR(C34&lt;&gt;"Closed",E34=""),"",(YEAR(Q131)-YEAR(E34))*12+MONTH(Q131)-MONTH(E34)+1)</f>
        <v/>
      </c>
      <c r="R154" s="16" t="str">
        <f aca="false">IF(OR(C34&lt;&gt;"Closed",E34=""),"",(YEAR(R131)-YEAR(E34))*12+MONTH(R131)-MONTH(E34)+1)</f>
        <v/>
      </c>
      <c r="S154" s="16" t="str">
        <f aca="false">IF(OR(C34&lt;&gt;"Closed",E34=""),"",(YEAR(S131)-YEAR(E34))*12+MONTH(S131)-MONTH(E34)+1)</f>
        <v/>
      </c>
      <c r="T154" s="16" t="str">
        <f aca="false">IF(OR(C34&lt;&gt;"Closed",E34=""),"",(YEAR(T131)-YEAR(E34))*12+MONTH(T131)-MONTH(E34)+1)</f>
        <v/>
      </c>
    </row>
    <row r="155" customFormat="false" ht="15" hidden="false" customHeight="false" outlineLevel="0" collapsed="false">
      <c r="A155" s="29" t="str">
        <f aca="false">A35</f>
        <v/>
      </c>
      <c r="B155" s="29" t="str">
        <f aca="false">B35</f>
        <v/>
      </c>
      <c r="I155" s="16" t="str">
        <f aca="false">IF(OR(C35&lt;&gt;"Closed",E35=""),"",(YEAR(I131)-YEAR(E35))*12+MONTH(I131)-MONTH(E35)+1)</f>
        <v/>
      </c>
      <c r="J155" s="16" t="str">
        <f aca="false">IF(OR(C35&lt;&gt;"Closed",E35=""),"",(YEAR(J131)-YEAR(E35))*12+MONTH(J131)-MONTH(E35)+1)</f>
        <v/>
      </c>
      <c r="K155" s="16" t="str">
        <f aca="false">IF(OR(C35&lt;&gt;"Closed",E35=""),"",(YEAR(K131)-YEAR(E35))*12+MONTH(K131)-MONTH(E35)+1)</f>
        <v/>
      </c>
      <c r="L155" s="16" t="str">
        <f aca="false">IF(OR(C35&lt;&gt;"Closed",E35=""),"",(YEAR(L131)-YEAR(E35))*12+MONTH(L131)-MONTH(E35)+1)</f>
        <v/>
      </c>
      <c r="M155" s="16" t="str">
        <f aca="false">IF(OR(C35&lt;&gt;"Closed",E35=""),"",(YEAR(M131)-YEAR(E35))*12+MONTH(M131)-MONTH(E35)+1)</f>
        <v/>
      </c>
      <c r="N155" s="16" t="str">
        <f aca="false">IF(OR(C35&lt;&gt;"Closed",E35=""),"",(YEAR(N131)-YEAR(E35))*12+MONTH(N131)-MONTH(E35)+1)</f>
        <v/>
      </c>
      <c r="O155" s="16" t="str">
        <f aca="false">IF(OR(C35&lt;&gt;"Closed",E35=""),"",(YEAR(O131)-YEAR(E35))*12+MONTH(O131)-MONTH(E35)+1)</f>
        <v/>
      </c>
      <c r="P155" s="16" t="str">
        <f aca="false">IF(OR(C35&lt;&gt;"Closed",E35=""),"",(YEAR(P131)-YEAR(E35))*12+MONTH(P131)-MONTH(E35)+1)</f>
        <v/>
      </c>
      <c r="Q155" s="16" t="str">
        <f aca="false">IF(OR(C35&lt;&gt;"Closed",E35=""),"",(YEAR(Q131)-YEAR(E35))*12+MONTH(Q131)-MONTH(E35)+1)</f>
        <v/>
      </c>
      <c r="R155" s="16" t="str">
        <f aca="false">IF(OR(C35&lt;&gt;"Closed",E35=""),"",(YEAR(R131)-YEAR(E35))*12+MONTH(R131)-MONTH(E35)+1)</f>
        <v/>
      </c>
      <c r="S155" s="16" t="str">
        <f aca="false">IF(OR(C35&lt;&gt;"Closed",E35=""),"",(YEAR(S131)-YEAR(E35))*12+MONTH(S131)-MONTH(E35)+1)</f>
        <v/>
      </c>
      <c r="T155" s="16" t="str">
        <f aca="false">IF(OR(C35&lt;&gt;"Closed",E35=""),"",(YEAR(T131)-YEAR(E35))*12+MONTH(T131)-MONTH(E35)+1)</f>
        <v/>
      </c>
    </row>
    <row r="156" customFormat="false" ht="15" hidden="false" customHeight="false" outlineLevel="0" collapsed="false">
      <c r="A156" s="29" t="str">
        <f aca="false">A36</f>
        <v/>
      </c>
      <c r="B156" s="29" t="str">
        <f aca="false">B36</f>
        <v/>
      </c>
      <c r="I156" s="16" t="str">
        <f aca="false">IF(OR(C36&lt;&gt;"Closed",E36=""),"",(YEAR(I131)-YEAR(E36))*12+MONTH(I131)-MONTH(E36)+1)</f>
        <v/>
      </c>
      <c r="J156" s="16" t="str">
        <f aca="false">IF(OR(C36&lt;&gt;"Closed",E36=""),"",(YEAR(J131)-YEAR(E36))*12+MONTH(J131)-MONTH(E36)+1)</f>
        <v/>
      </c>
      <c r="K156" s="16" t="str">
        <f aca="false">IF(OR(C36&lt;&gt;"Closed",E36=""),"",(YEAR(K131)-YEAR(E36))*12+MONTH(K131)-MONTH(E36)+1)</f>
        <v/>
      </c>
      <c r="L156" s="16" t="str">
        <f aca="false">IF(OR(C36&lt;&gt;"Closed",E36=""),"",(YEAR(L131)-YEAR(E36))*12+MONTH(L131)-MONTH(E36)+1)</f>
        <v/>
      </c>
      <c r="M156" s="16" t="str">
        <f aca="false">IF(OR(C36&lt;&gt;"Closed",E36=""),"",(YEAR(M131)-YEAR(E36))*12+MONTH(M131)-MONTH(E36)+1)</f>
        <v/>
      </c>
      <c r="N156" s="16" t="str">
        <f aca="false">IF(OR(C36&lt;&gt;"Closed",E36=""),"",(YEAR(N131)-YEAR(E36))*12+MONTH(N131)-MONTH(E36)+1)</f>
        <v/>
      </c>
      <c r="O156" s="16" t="str">
        <f aca="false">IF(OR(C36&lt;&gt;"Closed",E36=""),"",(YEAR(O131)-YEAR(E36))*12+MONTH(O131)-MONTH(E36)+1)</f>
        <v/>
      </c>
      <c r="P156" s="16" t="str">
        <f aca="false">IF(OR(C36&lt;&gt;"Closed",E36=""),"",(YEAR(P131)-YEAR(E36))*12+MONTH(P131)-MONTH(E36)+1)</f>
        <v/>
      </c>
      <c r="Q156" s="16" t="str">
        <f aca="false">IF(OR(C36&lt;&gt;"Closed",E36=""),"",(YEAR(Q131)-YEAR(E36))*12+MONTH(Q131)-MONTH(E36)+1)</f>
        <v/>
      </c>
      <c r="R156" s="16" t="str">
        <f aca="false">IF(OR(C36&lt;&gt;"Closed",E36=""),"",(YEAR(R131)-YEAR(E36))*12+MONTH(R131)-MONTH(E36)+1)</f>
        <v/>
      </c>
      <c r="S156" s="16" t="str">
        <f aca="false">IF(OR(C36&lt;&gt;"Closed",E36=""),"",(YEAR(S131)-YEAR(E36))*12+MONTH(S131)-MONTH(E36)+1)</f>
        <v/>
      </c>
      <c r="T156" s="16" t="str">
        <f aca="false">IF(OR(C36&lt;&gt;"Closed",E36=""),"",(YEAR(T131)-YEAR(E36))*12+MONTH(T131)-MONTH(E36)+1)</f>
        <v/>
      </c>
    </row>
    <row r="157" customFormat="false" ht="15" hidden="false" customHeight="false" outlineLevel="0" collapsed="false">
      <c r="A157" s="29" t="str">
        <f aca="false">A37</f>
        <v/>
      </c>
      <c r="B157" s="29" t="str">
        <f aca="false">B37</f>
        <v/>
      </c>
      <c r="I157" s="16" t="str">
        <f aca="false">IF(OR(C37&lt;&gt;"Closed",E37=""),"",(YEAR(I131)-YEAR(E37))*12+MONTH(I131)-MONTH(E37)+1)</f>
        <v/>
      </c>
      <c r="J157" s="16" t="str">
        <f aca="false">IF(OR(C37&lt;&gt;"Closed",E37=""),"",(YEAR(J131)-YEAR(E37))*12+MONTH(J131)-MONTH(E37)+1)</f>
        <v/>
      </c>
      <c r="K157" s="16" t="str">
        <f aca="false">IF(OR(C37&lt;&gt;"Closed",E37=""),"",(YEAR(K131)-YEAR(E37))*12+MONTH(K131)-MONTH(E37)+1)</f>
        <v/>
      </c>
      <c r="L157" s="16" t="str">
        <f aca="false">IF(OR(C37&lt;&gt;"Closed",E37=""),"",(YEAR(L131)-YEAR(E37))*12+MONTH(L131)-MONTH(E37)+1)</f>
        <v/>
      </c>
      <c r="M157" s="16" t="str">
        <f aca="false">IF(OR(C37&lt;&gt;"Closed",E37=""),"",(YEAR(M131)-YEAR(E37))*12+MONTH(M131)-MONTH(E37)+1)</f>
        <v/>
      </c>
      <c r="N157" s="16" t="str">
        <f aca="false">IF(OR(C37&lt;&gt;"Closed",E37=""),"",(YEAR(N131)-YEAR(E37))*12+MONTH(N131)-MONTH(E37)+1)</f>
        <v/>
      </c>
      <c r="O157" s="16" t="str">
        <f aca="false">IF(OR(C37&lt;&gt;"Closed",E37=""),"",(YEAR(O131)-YEAR(E37))*12+MONTH(O131)-MONTH(E37)+1)</f>
        <v/>
      </c>
      <c r="P157" s="16" t="str">
        <f aca="false">IF(OR(C37&lt;&gt;"Closed",E37=""),"",(YEAR(P131)-YEAR(E37))*12+MONTH(P131)-MONTH(E37)+1)</f>
        <v/>
      </c>
      <c r="Q157" s="16" t="str">
        <f aca="false">IF(OR(C37&lt;&gt;"Closed",E37=""),"",(YEAR(Q131)-YEAR(E37))*12+MONTH(Q131)-MONTH(E37)+1)</f>
        <v/>
      </c>
      <c r="R157" s="16" t="str">
        <f aca="false">IF(OR(C37&lt;&gt;"Closed",E37=""),"",(YEAR(R131)-YEAR(E37))*12+MONTH(R131)-MONTH(E37)+1)</f>
        <v/>
      </c>
      <c r="S157" s="16" t="str">
        <f aca="false">IF(OR(C37&lt;&gt;"Closed",E37=""),"",(YEAR(S131)-YEAR(E37))*12+MONTH(S131)-MONTH(E37)+1)</f>
        <v/>
      </c>
      <c r="T157" s="16" t="str">
        <f aca="false">IF(OR(C37&lt;&gt;"Closed",E37=""),"",(YEAR(T131)-YEAR(E37))*12+MONTH(T131)-MONTH(E37)+1)</f>
        <v/>
      </c>
    </row>
    <row r="158" customFormat="false" ht="15" hidden="false" customHeight="false" outlineLevel="0" collapsed="false">
      <c r="A158" s="29" t="str">
        <f aca="false">A38</f>
        <v/>
      </c>
      <c r="B158" s="29" t="str">
        <f aca="false">B38</f>
        <v/>
      </c>
      <c r="I158" s="16" t="str">
        <f aca="false">IF(OR(C38&lt;&gt;"Closed",E38=""),"",(YEAR(I131)-YEAR(E38))*12+MONTH(I131)-MONTH(E38)+1)</f>
        <v/>
      </c>
      <c r="J158" s="16" t="str">
        <f aca="false">IF(OR(C38&lt;&gt;"Closed",E38=""),"",(YEAR(J131)-YEAR(E38))*12+MONTH(J131)-MONTH(E38)+1)</f>
        <v/>
      </c>
      <c r="K158" s="16" t="str">
        <f aca="false">IF(OR(C38&lt;&gt;"Closed",E38=""),"",(YEAR(K131)-YEAR(E38))*12+MONTH(K131)-MONTH(E38)+1)</f>
        <v/>
      </c>
      <c r="L158" s="16" t="str">
        <f aca="false">IF(OR(C38&lt;&gt;"Closed",E38=""),"",(YEAR(L131)-YEAR(E38))*12+MONTH(L131)-MONTH(E38)+1)</f>
        <v/>
      </c>
      <c r="M158" s="16" t="str">
        <f aca="false">IF(OR(C38&lt;&gt;"Closed",E38=""),"",(YEAR(M131)-YEAR(E38))*12+MONTH(M131)-MONTH(E38)+1)</f>
        <v/>
      </c>
      <c r="N158" s="16" t="str">
        <f aca="false">IF(OR(C38&lt;&gt;"Closed",E38=""),"",(YEAR(N131)-YEAR(E38))*12+MONTH(N131)-MONTH(E38)+1)</f>
        <v/>
      </c>
      <c r="O158" s="16" t="str">
        <f aca="false">IF(OR(C38&lt;&gt;"Closed",E38=""),"",(YEAR(O131)-YEAR(E38))*12+MONTH(O131)-MONTH(E38)+1)</f>
        <v/>
      </c>
      <c r="P158" s="16" t="str">
        <f aca="false">IF(OR(C38&lt;&gt;"Closed",E38=""),"",(YEAR(P131)-YEAR(E38))*12+MONTH(P131)-MONTH(E38)+1)</f>
        <v/>
      </c>
      <c r="Q158" s="16" t="str">
        <f aca="false">IF(OR(C38&lt;&gt;"Closed",E38=""),"",(YEAR(Q131)-YEAR(E38))*12+MONTH(Q131)-MONTH(E38)+1)</f>
        <v/>
      </c>
      <c r="R158" s="16" t="str">
        <f aca="false">IF(OR(C38&lt;&gt;"Closed",E38=""),"",(YEAR(R131)-YEAR(E38))*12+MONTH(R131)-MONTH(E38)+1)</f>
        <v/>
      </c>
      <c r="S158" s="16" t="str">
        <f aca="false">IF(OR(C38&lt;&gt;"Closed",E38=""),"",(YEAR(S131)-YEAR(E38))*12+MONTH(S131)-MONTH(E38)+1)</f>
        <v/>
      </c>
      <c r="T158" s="16" t="str">
        <f aca="false">IF(OR(C38&lt;&gt;"Closed",E38=""),"",(YEAR(T131)-YEAR(E38))*12+MONTH(T131)-MONTH(E38)+1)</f>
        <v/>
      </c>
    </row>
    <row r="159" customFormat="false" ht="15" hidden="false" customHeight="false" outlineLevel="0" collapsed="false">
      <c r="A159" s="29" t="str">
        <f aca="false">A39</f>
        <v/>
      </c>
      <c r="B159" s="29" t="str">
        <f aca="false">B39</f>
        <v/>
      </c>
      <c r="I159" s="16" t="str">
        <f aca="false">IF(OR(C39&lt;&gt;"Closed",E39=""),"",(YEAR(I131)-YEAR(E39))*12+MONTH(I131)-MONTH(E39)+1)</f>
        <v/>
      </c>
      <c r="J159" s="16" t="str">
        <f aca="false">IF(OR(C39&lt;&gt;"Closed",E39=""),"",(YEAR(J131)-YEAR(E39))*12+MONTH(J131)-MONTH(E39)+1)</f>
        <v/>
      </c>
      <c r="K159" s="16" t="str">
        <f aca="false">IF(OR(C39&lt;&gt;"Closed",E39=""),"",(YEAR(K131)-YEAR(E39))*12+MONTH(K131)-MONTH(E39)+1)</f>
        <v/>
      </c>
      <c r="L159" s="16" t="str">
        <f aca="false">IF(OR(C39&lt;&gt;"Closed",E39=""),"",(YEAR(L131)-YEAR(E39))*12+MONTH(L131)-MONTH(E39)+1)</f>
        <v/>
      </c>
      <c r="M159" s="16" t="str">
        <f aca="false">IF(OR(C39&lt;&gt;"Closed",E39=""),"",(YEAR(M131)-YEAR(E39))*12+MONTH(M131)-MONTH(E39)+1)</f>
        <v/>
      </c>
      <c r="N159" s="16" t="str">
        <f aca="false">IF(OR(C39&lt;&gt;"Closed",E39=""),"",(YEAR(N131)-YEAR(E39))*12+MONTH(N131)-MONTH(E39)+1)</f>
        <v/>
      </c>
      <c r="O159" s="16" t="str">
        <f aca="false">IF(OR(C39&lt;&gt;"Closed",E39=""),"",(YEAR(O131)-YEAR(E39))*12+MONTH(O131)-MONTH(E39)+1)</f>
        <v/>
      </c>
      <c r="P159" s="16" t="str">
        <f aca="false">IF(OR(C39&lt;&gt;"Closed",E39=""),"",(YEAR(P131)-YEAR(E39))*12+MONTH(P131)-MONTH(E39)+1)</f>
        <v/>
      </c>
      <c r="Q159" s="16" t="str">
        <f aca="false">IF(OR(C39&lt;&gt;"Closed",E39=""),"",(YEAR(Q131)-YEAR(E39))*12+MONTH(Q131)-MONTH(E39)+1)</f>
        <v/>
      </c>
      <c r="R159" s="16" t="str">
        <f aca="false">IF(OR(C39&lt;&gt;"Closed",E39=""),"",(YEAR(R131)-YEAR(E39))*12+MONTH(R131)-MONTH(E39)+1)</f>
        <v/>
      </c>
      <c r="S159" s="16" t="str">
        <f aca="false">IF(OR(C39&lt;&gt;"Closed",E39=""),"",(YEAR(S131)-YEAR(E39))*12+MONTH(S131)-MONTH(E39)+1)</f>
        <v/>
      </c>
      <c r="T159" s="16" t="str">
        <f aca="false">IF(OR(C39&lt;&gt;"Closed",E39=""),"",(YEAR(T131)-YEAR(E39))*12+MONTH(T131)-MONTH(E39)+1)</f>
        <v/>
      </c>
    </row>
    <row r="160" customFormat="false" ht="15" hidden="false" customHeight="false" outlineLevel="0" collapsed="false">
      <c r="A160" s="29" t="str">
        <f aca="false">A40</f>
        <v/>
      </c>
      <c r="B160" s="29" t="str">
        <f aca="false">B40</f>
        <v/>
      </c>
      <c r="I160" s="16" t="str">
        <f aca="false">IF(OR(C40&lt;&gt;"Closed",E40=""),"",(YEAR(I131)-YEAR(E40))*12+MONTH(I131)-MONTH(E40)+1)</f>
        <v/>
      </c>
      <c r="J160" s="16" t="str">
        <f aca="false">IF(OR(C40&lt;&gt;"Closed",E40=""),"",(YEAR(J131)-YEAR(E40))*12+MONTH(J131)-MONTH(E40)+1)</f>
        <v/>
      </c>
      <c r="K160" s="16" t="str">
        <f aca="false">IF(OR(C40&lt;&gt;"Closed",E40=""),"",(YEAR(K131)-YEAR(E40))*12+MONTH(K131)-MONTH(E40)+1)</f>
        <v/>
      </c>
      <c r="L160" s="16" t="str">
        <f aca="false">IF(OR(C40&lt;&gt;"Closed",E40=""),"",(YEAR(L131)-YEAR(E40))*12+MONTH(L131)-MONTH(E40)+1)</f>
        <v/>
      </c>
      <c r="M160" s="16" t="str">
        <f aca="false">IF(OR(C40&lt;&gt;"Closed",E40=""),"",(YEAR(M131)-YEAR(E40))*12+MONTH(M131)-MONTH(E40)+1)</f>
        <v/>
      </c>
      <c r="N160" s="16" t="str">
        <f aca="false">IF(OR(C40&lt;&gt;"Closed",E40=""),"",(YEAR(N131)-YEAR(E40))*12+MONTH(N131)-MONTH(E40)+1)</f>
        <v/>
      </c>
      <c r="O160" s="16" t="str">
        <f aca="false">IF(OR(C40&lt;&gt;"Closed",E40=""),"",(YEAR(O131)-YEAR(E40))*12+MONTH(O131)-MONTH(E40)+1)</f>
        <v/>
      </c>
      <c r="P160" s="16" t="str">
        <f aca="false">IF(OR(C40&lt;&gt;"Closed",E40=""),"",(YEAR(P131)-YEAR(E40))*12+MONTH(P131)-MONTH(E40)+1)</f>
        <v/>
      </c>
      <c r="Q160" s="16" t="str">
        <f aca="false">IF(OR(C40&lt;&gt;"Closed",E40=""),"",(YEAR(Q131)-YEAR(E40))*12+MONTH(Q131)-MONTH(E40)+1)</f>
        <v/>
      </c>
      <c r="R160" s="16" t="str">
        <f aca="false">IF(OR(C40&lt;&gt;"Closed",E40=""),"",(YEAR(R131)-YEAR(E40))*12+MONTH(R131)-MONTH(E40)+1)</f>
        <v/>
      </c>
      <c r="S160" s="16" t="str">
        <f aca="false">IF(OR(C40&lt;&gt;"Closed",E40=""),"",(YEAR(S131)-YEAR(E40))*12+MONTH(S131)-MONTH(E40)+1)</f>
        <v/>
      </c>
      <c r="T160" s="16" t="str">
        <f aca="false">IF(OR(C40&lt;&gt;"Closed",E40=""),"",(YEAR(T131)-YEAR(E40))*12+MONTH(T131)-MONTH(E40)+1)</f>
        <v/>
      </c>
    </row>
    <row r="161" customFormat="false" ht="15" hidden="false" customHeight="false" outlineLevel="0" collapsed="false">
      <c r="A161" s="29" t="str">
        <f aca="false">A41</f>
        <v/>
      </c>
      <c r="B161" s="29" t="str">
        <f aca="false">B41</f>
        <v/>
      </c>
      <c r="I161" s="16" t="str">
        <f aca="false">IF(OR(C41&lt;&gt;"Closed",E41=""),"",(YEAR(I131)-YEAR(E41))*12+MONTH(I131)-MONTH(E41)+1)</f>
        <v/>
      </c>
      <c r="J161" s="16" t="str">
        <f aca="false">IF(OR(C41&lt;&gt;"Closed",E41=""),"",(YEAR(J131)-YEAR(E41))*12+MONTH(J131)-MONTH(E41)+1)</f>
        <v/>
      </c>
      <c r="K161" s="16" t="str">
        <f aca="false">IF(OR(C41&lt;&gt;"Closed",E41=""),"",(YEAR(K131)-YEAR(E41))*12+MONTH(K131)-MONTH(E41)+1)</f>
        <v/>
      </c>
      <c r="L161" s="16" t="str">
        <f aca="false">IF(OR(C41&lt;&gt;"Closed",E41=""),"",(YEAR(L131)-YEAR(E41))*12+MONTH(L131)-MONTH(E41)+1)</f>
        <v/>
      </c>
      <c r="M161" s="16" t="str">
        <f aca="false">IF(OR(C41&lt;&gt;"Closed",E41=""),"",(YEAR(M131)-YEAR(E41))*12+MONTH(M131)-MONTH(E41)+1)</f>
        <v/>
      </c>
      <c r="N161" s="16" t="str">
        <f aca="false">IF(OR(C41&lt;&gt;"Closed",E41=""),"",(YEAR(N131)-YEAR(E41))*12+MONTH(N131)-MONTH(E41)+1)</f>
        <v/>
      </c>
      <c r="O161" s="16" t="str">
        <f aca="false">IF(OR(C41&lt;&gt;"Closed",E41=""),"",(YEAR(O131)-YEAR(E41))*12+MONTH(O131)-MONTH(E41)+1)</f>
        <v/>
      </c>
      <c r="P161" s="16" t="str">
        <f aca="false">IF(OR(C41&lt;&gt;"Closed",E41=""),"",(YEAR(P131)-YEAR(E41))*12+MONTH(P131)-MONTH(E41)+1)</f>
        <v/>
      </c>
      <c r="Q161" s="16" t="str">
        <f aca="false">IF(OR(C41&lt;&gt;"Closed",E41=""),"",(YEAR(Q131)-YEAR(E41))*12+MONTH(Q131)-MONTH(E41)+1)</f>
        <v/>
      </c>
      <c r="R161" s="16" t="str">
        <f aca="false">IF(OR(C41&lt;&gt;"Closed",E41=""),"",(YEAR(R131)-YEAR(E41))*12+MONTH(R131)-MONTH(E41)+1)</f>
        <v/>
      </c>
      <c r="S161" s="16" t="str">
        <f aca="false">IF(OR(C41&lt;&gt;"Closed",E41=""),"",(YEAR(S131)-YEAR(E41))*12+MONTH(S131)-MONTH(E41)+1)</f>
        <v/>
      </c>
      <c r="T161" s="16" t="str">
        <f aca="false">IF(OR(C41&lt;&gt;"Closed",E41=""),"",(YEAR(T131)-YEAR(E41))*12+MONTH(T131)-MONTH(E41)+1)</f>
        <v/>
      </c>
    </row>
    <row r="162" customFormat="false" ht="15" hidden="false" customHeight="false" outlineLevel="0" collapsed="false">
      <c r="A162" s="29" t="str">
        <f aca="false">A42</f>
        <v/>
      </c>
      <c r="B162" s="29" t="str">
        <f aca="false">B42</f>
        <v/>
      </c>
      <c r="I162" s="16" t="str">
        <f aca="false">IF(OR(C42&lt;&gt;"Closed",E42=""),"",(YEAR(I131)-YEAR(E42))*12+MONTH(I131)-MONTH(E42)+1)</f>
        <v/>
      </c>
      <c r="J162" s="16" t="str">
        <f aca="false">IF(OR(C42&lt;&gt;"Closed",E42=""),"",(YEAR(J131)-YEAR(E42))*12+MONTH(J131)-MONTH(E42)+1)</f>
        <v/>
      </c>
      <c r="K162" s="16" t="str">
        <f aca="false">IF(OR(C42&lt;&gt;"Closed",E42=""),"",(YEAR(K131)-YEAR(E42))*12+MONTH(K131)-MONTH(E42)+1)</f>
        <v/>
      </c>
      <c r="L162" s="16" t="str">
        <f aca="false">IF(OR(C42&lt;&gt;"Closed",E42=""),"",(YEAR(L131)-YEAR(E42))*12+MONTH(L131)-MONTH(E42)+1)</f>
        <v/>
      </c>
      <c r="M162" s="16" t="str">
        <f aca="false">IF(OR(C42&lt;&gt;"Closed",E42=""),"",(YEAR(M131)-YEAR(E42))*12+MONTH(M131)-MONTH(E42)+1)</f>
        <v/>
      </c>
      <c r="N162" s="16" t="str">
        <f aca="false">IF(OR(C42&lt;&gt;"Closed",E42=""),"",(YEAR(N131)-YEAR(E42))*12+MONTH(N131)-MONTH(E42)+1)</f>
        <v/>
      </c>
      <c r="O162" s="16" t="str">
        <f aca="false">IF(OR(C42&lt;&gt;"Closed",E42=""),"",(YEAR(O131)-YEAR(E42))*12+MONTH(O131)-MONTH(E42)+1)</f>
        <v/>
      </c>
      <c r="P162" s="16" t="str">
        <f aca="false">IF(OR(C42&lt;&gt;"Closed",E42=""),"",(YEAR(P131)-YEAR(E42))*12+MONTH(P131)-MONTH(E42)+1)</f>
        <v/>
      </c>
      <c r="Q162" s="16" t="str">
        <f aca="false">IF(OR(C42&lt;&gt;"Closed",E42=""),"",(YEAR(Q131)-YEAR(E42))*12+MONTH(Q131)-MONTH(E42)+1)</f>
        <v/>
      </c>
      <c r="R162" s="16" t="str">
        <f aca="false">IF(OR(C42&lt;&gt;"Closed",E42=""),"",(YEAR(R131)-YEAR(E42))*12+MONTH(R131)-MONTH(E42)+1)</f>
        <v/>
      </c>
      <c r="S162" s="16" t="str">
        <f aca="false">IF(OR(C42&lt;&gt;"Closed",E42=""),"",(YEAR(S131)-YEAR(E42))*12+MONTH(S131)-MONTH(E42)+1)</f>
        <v/>
      </c>
      <c r="T162" s="16" t="str">
        <f aca="false">IF(OR(C42&lt;&gt;"Closed",E42=""),"",(YEAR(T131)-YEAR(E42))*12+MONTH(T131)-MONTH(E42)+1)</f>
        <v/>
      </c>
    </row>
    <row r="163" customFormat="false" ht="15" hidden="false" customHeight="false" outlineLevel="0" collapsed="false">
      <c r="A163" s="29" t="str">
        <f aca="false">A43</f>
        <v/>
      </c>
      <c r="B163" s="29" t="str">
        <f aca="false">B43</f>
        <v/>
      </c>
      <c r="I163" s="16" t="str">
        <f aca="false">IF(OR(C43&lt;&gt;"Closed",E43=""),"",(YEAR(I131)-YEAR(E43))*12+MONTH(I131)-MONTH(E43)+1)</f>
        <v/>
      </c>
      <c r="J163" s="16" t="str">
        <f aca="false">IF(OR(C43&lt;&gt;"Closed",E43=""),"",(YEAR(J131)-YEAR(E43))*12+MONTH(J131)-MONTH(E43)+1)</f>
        <v/>
      </c>
      <c r="K163" s="16" t="str">
        <f aca="false">IF(OR(C43&lt;&gt;"Closed",E43=""),"",(YEAR(K131)-YEAR(E43))*12+MONTH(K131)-MONTH(E43)+1)</f>
        <v/>
      </c>
      <c r="L163" s="16" t="str">
        <f aca="false">IF(OR(C43&lt;&gt;"Closed",E43=""),"",(YEAR(L131)-YEAR(E43))*12+MONTH(L131)-MONTH(E43)+1)</f>
        <v/>
      </c>
      <c r="M163" s="16" t="str">
        <f aca="false">IF(OR(C43&lt;&gt;"Closed",E43=""),"",(YEAR(M131)-YEAR(E43))*12+MONTH(M131)-MONTH(E43)+1)</f>
        <v/>
      </c>
      <c r="N163" s="16" t="str">
        <f aca="false">IF(OR(C43&lt;&gt;"Closed",E43=""),"",(YEAR(N131)-YEAR(E43))*12+MONTH(N131)-MONTH(E43)+1)</f>
        <v/>
      </c>
      <c r="O163" s="16" t="str">
        <f aca="false">IF(OR(C43&lt;&gt;"Closed",E43=""),"",(YEAR(O131)-YEAR(E43))*12+MONTH(O131)-MONTH(E43)+1)</f>
        <v/>
      </c>
      <c r="P163" s="16" t="str">
        <f aca="false">IF(OR(C43&lt;&gt;"Closed",E43=""),"",(YEAR(P131)-YEAR(E43))*12+MONTH(P131)-MONTH(E43)+1)</f>
        <v/>
      </c>
      <c r="Q163" s="16" t="str">
        <f aca="false">IF(OR(C43&lt;&gt;"Closed",E43=""),"",(YEAR(Q131)-YEAR(E43))*12+MONTH(Q131)-MONTH(E43)+1)</f>
        <v/>
      </c>
      <c r="R163" s="16" t="str">
        <f aca="false">IF(OR(C43&lt;&gt;"Closed",E43=""),"",(YEAR(R131)-YEAR(E43))*12+MONTH(R131)-MONTH(E43)+1)</f>
        <v/>
      </c>
      <c r="S163" s="16" t="str">
        <f aca="false">IF(OR(C43&lt;&gt;"Closed",E43=""),"",(YEAR(S131)-YEAR(E43))*12+MONTH(S131)-MONTH(E43)+1)</f>
        <v/>
      </c>
      <c r="T163" s="16" t="str">
        <f aca="false">IF(OR(C43&lt;&gt;"Closed",E43=""),"",(YEAR(T131)-YEAR(E43))*12+MONTH(T131)-MONTH(E43)+1)</f>
        <v/>
      </c>
    </row>
    <row r="164" customFormat="false" ht="15" hidden="false" customHeight="false" outlineLevel="0" collapsed="false">
      <c r="A164" s="29" t="str">
        <f aca="false">A44</f>
        <v/>
      </c>
      <c r="B164" s="29" t="str">
        <f aca="false">B44</f>
        <v/>
      </c>
      <c r="I164" s="16" t="str">
        <f aca="false">IF(OR(C44&lt;&gt;"Closed",E44=""),"",(YEAR(I131)-YEAR(E44))*12+MONTH(I131)-MONTH(E44)+1)</f>
        <v/>
      </c>
      <c r="J164" s="16" t="str">
        <f aca="false">IF(OR(C44&lt;&gt;"Closed",E44=""),"",(YEAR(J131)-YEAR(E44))*12+MONTH(J131)-MONTH(E44)+1)</f>
        <v/>
      </c>
      <c r="K164" s="16" t="str">
        <f aca="false">IF(OR(C44&lt;&gt;"Closed",E44=""),"",(YEAR(K131)-YEAR(E44))*12+MONTH(K131)-MONTH(E44)+1)</f>
        <v/>
      </c>
      <c r="L164" s="16" t="str">
        <f aca="false">IF(OR(C44&lt;&gt;"Closed",E44=""),"",(YEAR(L131)-YEAR(E44))*12+MONTH(L131)-MONTH(E44)+1)</f>
        <v/>
      </c>
      <c r="M164" s="16" t="str">
        <f aca="false">IF(OR(C44&lt;&gt;"Closed",E44=""),"",(YEAR(M131)-YEAR(E44))*12+MONTH(M131)-MONTH(E44)+1)</f>
        <v/>
      </c>
      <c r="N164" s="16" t="str">
        <f aca="false">IF(OR(C44&lt;&gt;"Closed",E44=""),"",(YEAR(N131)-YEAR(E44))*12+MONTH(N131)-MONTH(E44)+1)</f>
        <v/>
      </c>
      <c r="O164" s="16" t="str">
        <f aca="false">IF(OR(C44&lt;&gt;"Closed",E44=""),"",(YEAR(O131)-YEAR(E44))*12+MONTH(O131)-MONTH(E44)+1)</f>
        <v/>
      </c>
      <c r="P164" s="16" t="str">
        <f aca="false">IF(OR(C44&lt;&gt;"Closed",E44=""),"",(YEAR(P131)-YEAR(E44))*12+MONTH(P131)-MONTH(E44)+1)</f>
        <v/>
      </c>
      <c r="Q164" s="16" t="str">
        <f aca="false">IF(OR(C44&lt;&gt;"Closed",E44=""),"",(YEAR(Q131)-YEAR(E44))*12+MONTH(Q131)-MONTH(E44)+1)</f>
        <v/>
      </c>
      <c r="R164" s="16" t="str">
        <f aca="false">IF(OR(C44&lt;&gt;"Closed",E44=""),"",(YEAR(R131)-YEAR(E44))*12+MONTH(R131)-MONTH(E44)+1)</f>
        <v/>
      </c>
      <c r="S164" s="16" t="str">
        <f aca="false">IF(OR(C44&lt;&gt;"Closed",E44=""),"",(YEAR(S131)-YEAR(E44))*12+MONTH(S131)-MONTH(E44)+1)</f>
        <v/>
      </c>
      <c r="T164" s="16" t="str">
        <f aca="false">IF(OR(C44&lt;&gt;"Closed",E44=""),"",(YEAR(T131)-YEAR(E44))*12+MONTH(T131)-MONTH(E44)+1)</f>
        <v/>
      </c>
    </row>
    <row r="165" customFormat="false" ht="15" hidden="false" customHeight="false" outlineLevel="0" collapsed="false">
      <c r="A165" s="29" t="str">
        <f aca="false">A45</f>
        <v/>
      </c>
      <c r="B165" s="29" t="str">
        <f aca="false">B45</f>
        <v/>
      </c>
      <c r="I165" s="16" t="str">
        <f aca="false">IF(OR(C45&lt;&gt;"Closed",E45=""),"",(YEAR(I131)-YEAR(E45))*12+MONTH(I131)-MONTH(E45)+1)</f>
        <v/>
      </c>
      <c r="J165" s="16" t="str">
        <f aca="false">IF(OR(C45&lt;&gt;"Closed",E45=""),"",(YEAR(J131)-YEAR(E45))*12+MONTH(J131)-MONTH(E45)+1)</f>
        <v/>
      </c>
      <c r="K165" s="16" t="str">
        <f aca="false">IF(OR(C45&lt;&gt;"Closed",E45=""),"",(YEAR(K131)-YEAR(E45))*12+MONTH(K131)-MONTH(E45)+1)</f>
        <v/>
      </c>
      <c r="L165" s="16" t="str">
        <f aca="false">IF(OR(C45&lt;&gt;"Closed",E45=""),"",(YEAR(L131)-YEAR(E45))*12+MONTH(L131)-MONTH(E45)+1)</f>
        <v/>
      </c>
      <c r="M165" s="16" t="str">
        <f aca="false">IF(OR(C45&lt;&gt;"Closed",E45=""),"",(YEAR(M131)-YEAR(E45))*12+MONTH(M131)-MONTH(E45)+1)</f>
        <v/>
      </c>
      <c r="N165" s="16" t="str">
        <f aca="false">IF(OR(C45&lt;&gt;"Closed",E45=""),"",(YEAR(N131)-YEAR(E45))*12+MONTH(N131)-MONTH(E45)+1)</f>
        <v/>
      </c>
      <c r="O165" s="16" t="str">
        <f aca="false">IF(OR(C45&lt;&gt;"Closed",E45=""),"",(YEAR(O131)-YEAR(E45))*12+MONTH(O131)-MONTH(E45)+1)</f>
        <v/>
      </c>
      <c r="P165" s="16" t="str">
        <f aca="false">IF(OR(C45&lt;&gt;"Closed",E45=""),"",(YEAR(P131)-YEAR(E45))*12+MONTH(P131)-MONTH(E45)+1)</f>
        <v/>
      </c>
      <c r="Q165" s="16" t="str">
        <f aca="false">IF(OR(C45&lt;&gt;"Closed",E45=""),"",(YEAR(Q131)-YEAR(E45))*12+MONTH(Q131)-MONTH(E45)+1)</f>
        <v/>
      </c>
      <c r="R165" s="16" t="str">
        <f aca="false">IF(OR(C45&lt;&gt;"Closed",E45=""),"",(YEAR(R131)-YEAR(E45))*12+MONTH(R131)-MONTH(E45)+1)</f>
        <v/>
      </c>
      <c r="S165" s="16" t="str">
        <f aca="false">IF(OR(C45&lt;&gt;"Closed",E45=""),"",(YEAR(S131)-YEAR(E45))*12+MONTH(S131)-MONTH(E45)+1)</f>
        <v/>
      </c>
      <c r="T165" s="16" t="str">
        <f aca="false">IF(OR(C45&lt;&gt;"Closed",E45=""),"",(YEAR(T131)-YEAR(E45))*12+MONTH(T131)-MONTH(E45)+1)</f>
        <v/>
      </c>
    </row>
    <row r="166" customFormat="false" ht="15" hidden="false" customHeight="false" outlineLevel="0" collapsed="false">
      <c r="A166" s="29" t="str">
        <f aca="false">A46</f>
        <v/>
      </c>
      <c r="B166" s="29" t="str">
        <f aca="false">B46</f>
        <v/>
      </c>
      <c r="I166" s="16" t="str">
        <f aca="false">IF(OR(C46&lt;&gt;"Closed",E46=""),"",(YEAR(I131)-YEAR(E46))*12+MONTH(I131)-MONTH(E46)+1)</f>
        <v/>
      </c>
      <c r="J166" s="16" t="str">
        <f aca="false">IF(OR(C46&lt;&gt;"Closed",E46=""),"",(YEAR(J131)-YEAR(E46))*12+MONTH(J131)-MONTH(E46)+1)</f>
        <v/>
      </c>
      <c r="K166" s="16" t="str">
        <f aca="false">IF(OR(C46&lt;&gt;"Closed",E46=""),"",(YEAR(K131)-YEAR(E46))*12+MONTH(K131)-MONTH(E46)+1)</f>
        <v/>
      </c>
      <c r="L166" s="16" t="str">
        <f aca="false">IF(OR(C46&lt;&gt;"Closed",E46=""),"",(YEAR(L131)-YEAR(E46))*12+MONTH(L131)-MONTH(E46)+1)</f>
        <v/>
      </c>
      <c r="M166" s="16" t="str">
        <f aca="false">IF(OR(C46&lt;&gt;"Closed",E46=""),"",(YEAR(M131)-YEAR(E46))*12+MONTH(M131)-MONTH(E46)+1)</f>
        <v/>
      </c>
      <c r="N166" s="16" t="str">
        <f aca="false">IF(OR(C46&lt;&gt;"Closed",E46=""),"",(YEAR(N131)-YEAR(E46))*12+MONTH(N131)-MONTH(E46)+1)</f>
        <v/>
      </c>
      <c r="O166" s="16" t="str">
        <f aca="false">IF(OR(C46&lt;&gt;"Closed",E46=""),"",(YEAR(O131)-YEAR(E46))*12+MONTH(O131)-MONTH(E46)+1)</f>
        <v/>
      </c>
      <c r="P166" s="16" t="str">
        <f aca="false">IF(OR(C46&lt;&gt;"Closed",E46=""),"",(YEAR(P131)-YEAR(E46))*12+MONTH(P131)-MONTH(E46)+1)</f>
        <v/>
      </c>
      <c r="Q166" s="16" t="str">
        <f aca="false">IF(OR(C46&lt;&gt;"Closed",E46=""),"",(YEAR(Q131)-YEAR(E46))*12+MONTH(Q131)-MONTH(E46)+1)</f>
        <v/>
      </c>
      <c r="R166" s="16" t="str">
        <f aca="false">IF(OR(C46&lt;&gt;"Closed",E46=""),"",(YEAR(R131)-YEAR(E46))*12+MONTH(R131)-MONTH(E46)+1)</f>
        <v/>
      </c>
      <c r="S166" s="16" t="str">
        <f aca="false">IF(OR(C46&lt;&gt;"Closed",E46=""),"",(YEAR(S131)-YEAR(E46))*12+MONTH(S131)-MONTH(E46)+1)</f>
        <v/>
      </c>
      <c r="T166" s="16" t="str">
        <f aca="false">IF(OR(C46&lt;&gt;"Closed",E46=""),"",(YEAR(T131)-YEAR(E46))*12+MONTH(T131)-MONTH(E46)+1)</f>
        <v/>
      </c>
    </row>
    <row r="167" customFormat="false" ht="15" hidden="false" customHeight="false" outlineLevel="0" collapsed="false">
      <c r="A167" s="29" t="str">
        <f aca="false">A47</f>
        <v/>
      </c>
      <c r="B167" s="29" t="str">
        <f aca="false">B47</f>
        <v/>
      </c>
      <c r="I167" s="16" t="str">
        <f aca="false">IF(OR(C47&lt;&gt;"Closed",E47=""),"",(YEAR(I131)-YEAR(E47))*12+MONTH(I131)-MONTH(E47)+1)</f>
        <v/>
      </c>
      <c r="J167" s="16" t="str">
        <f aca="false">IF(OR(C47&lt;&gt;"Closed",E47=""),"",(YEAR(J131)-YEAR(E47))*12+MONTH(J131)-MONTH(E47)+1)</f>
        <v/>
      </c>
      <c r="K167" s="16" t="str">
        <f aca="false">IF(OR(C47&lt;&gt;"Closed",E47=""),"",(YEAR(K131)-YEAR(E47))*12+MONTH(K131)-MONTH(E47)+1)</f>
        <v/>
      </c>
      <c r="L167" s="16" t="str">
        <f aca="false">IF(OR(C47&lt;&gt;"Closed",E47=""),"",(YEAR(L131)-YEAR(E47))*12+MONTH(L131)-MONTH(E47)+1)</f>
        <v/>
      </c>
      <c r="M167" s="16" t="str">
        <f aca="false">IF(OR(C47&lt;&gt;"Closed",E47=""),"",(YEAR(M131)-YEAR(E47))*12+MONTH(M131)-MONTH(E47)+1)</f>
        <v/>
      </c>
      <c r="N167" s="16" t="str">
        <f aca="false">IF(OR(C47&lt;&gt;"Closed",E47=""),"",(YEAR(N131)-YEAR(E47))*12+MONTH(N131)-MONTH(E47)+1)</f>
        <v/>
      </c>
      <c r="O167" s="16" t="str">
        <f aca="false">IF(OR(C47&lt;&gt;"Closed",E47=""),"",(YEAR(O131)-YEAR(E47))*12+MONTH(O131)-MONTH(E47)+1)</f>
        <v/>
      </c>
      <c r="P167" s="16" t="str">
        <f aca="false">IF(OR(C47&lt;&gt;"Closed",E47=""),"",(YEAR(P131)-YEAR(E47))*12+MONTH(P131)-MONTH(E47)+1)</f>
        <v/>
      </c>
      <c r="Q167" s="16" t="str">
        <f aca="false">IF(OR(C47&lt;&gt;"Closed",E47=""),"",(YEAR(Q131)-YEAR(E47))*12+MONTH(Q131)-MONTH(E47)+1)</f>
        <v/>
      </c>
      <c r="R167" s="16" t="str">
        <f aca="false">IF(OR(C47&lt;&gt;"Closed",E47=""),"",(YEAR(R131)-YEAR(E47))*12+MONTH(R131)-MONTH(E47)+1)</f>
        <v/>
      </c>
      <c r="S167" s="16" t="str">
        <f aca="false">IF(OR(C47&lt;&gt;"Closed",E47=""),"",(YEAR(S131)-YEAR(E47))*12+MONTH(S131)-MONTH(E47)+1)</f>
        <v/>
      </c>
      <c r="T167" s="16" t="str">
        <f aca="false">IF(OR(C47&lt;&gt;"Closed",E47=""),"",(YEAR(T131)-YEAR(E47))*12+MONTH(T131)-MONTH(E47)+1)</f>
        <v/>
      </c>
    </row>
    <row r="168" customFormat="false" ht="15" hidden="false" customHeight="false" outlineLevel="0" collapsed="false">
      <c r="A168" s="29" t="str">
        <f aca="false">A48</f>
        <v/>
      </c>
      <c r="B168" s="29" t="str">
        <f aca="false">B48</f>
        <v/>
      </c>
      <c r="I168" s="16" t="str">
        <f aca="false">IF(OR(C48&lt;&gt;"Closed",E48=""),"",(YEAR(I131)-YEAR(E48))*12+MONTH(I131)-MONTH(E48)+1)</f>
        <v/>
      </c>
      <c r="J168" s="16" t="str">
        <f aca="false">IF(OR(C48&lt;&gt;"Closed",E48=""),"",(YEAR(J131)-YEAR(E48))*12+MONTH(J131)-MONTH(E48)+1)</f>
        <v/>
      </c>
      <c r="K168" s="16" t="str">
        <f aca="false">IF(OR(C48&lt;&gt;"Closed",E48=""),"",(YEAR(K131)-YEAR(E48))*12+MONTH(K131)-MONTH(E48)+1)</f>
        <v/>
      </c>
      <c r="L168" s="16" t="str">
        <f aca="false">IF(OR(C48&lt;&gt;"Closed",E48=""),"",(YEAR(L131)-YEAR(E48))*12+MONTH(L131)-MONTH(E48)+1)</f>
        <v/>
      </c>
      <c r="M168" s="16" t="str">
        <f aca="false">IF(OR(C48&lt;&gt;"Closed",E48=""),"",(YEAR(M131)-YEAR(E48))*12+MONTH(M131)-MONTH(E48)+1)</f>
        <v/>
      </c>
      <c r="N168" s="16" t="str">
        <f aca="false">IF(OR(C48&lt;&gt;"Closed",E48=""),"",(YEAR(N131)-YEAR(E48))*12+MONTH(N131)-MONTH(E48)+1)</f>
        <v/>
      </c>
      <c r="O168" s="16" t="str">
        <f aca="false">IF(OR(C48&lt;&gt;"Closed",E48=""),"",(YEAR(O131)-YEAR(E48))*12+MONTH(O131)-MONTH(E48)+1)</f>
        <v/>
      </c>
      <c r="P168" s="16" t="str">
        <f aca="false">IF(OR(C48&lt;&gt;"Closed",E48=""),"",(YEAR(P131)-YEAR(E48))*12+MONTH(P131)-MONTH(E48)+1)</f>
        <v/>
      </c>
      <c r="Q168" s="16" t="str">
        <f aca="false">IF(OR(C48&lt;&gt;"Closed",E48=""),"",(YEAR(Q131)-YEAR(E48))*12+MONTH(Q131)-MONTH(E48)+1)</f>
        <v/>
      </c>
      <c r="R168" s="16" t="str">
        <f aca="false">IF(OR(C48&lt;&gt;"Closed",E48=""),"",(YEAR(R131)-YEAR(E48))*12+MONTH(R131)-MONTH(E48)+1)</f>
        <v/>
      </c>
      <c r="S168" s="16" t="str">
        <f aca="false">IF(OR(C48&lt;&gt;"Closed",E48=""),"",(YEAR(S131)-YEAR(E48))*12+MONTH(S131)-MONTH(E48)+1)</f>
        <v/>
      </c>
      <c r="T168" s="16" t="str">
        <f aca="false">IF(OR(C48&lt;&gt;"Closed",E48=""),"",(YEAR(T131)-YEAR(E48))*12+MONTH(T131)-MONTH(E48)+1)</f>
        <v/>
      </c>
    </row>
    <row r="169" customFormat="false" ht="15" hidden="false" customHeight="false" outlineLevel="0" collapsed="false">
      <c r="A169" s="29" t="str">
        <f aca="false">A49</f>
        <v/>
      </c>
      <c r="B169" s="29" t="str">
        <f aca="false">B49</f>
        <v/>
      </c>
      <c r="I169" s="16" t="str">
        <f aca="false">IF(OR(C49&lt;&gt;"Closed",E49=""),"",(YEAR(I131)-YEAR(E49))*12+MONTH(I131)-MONTH(E49)+1)</f>
        <v/>
      </c>
      <c r="J169" s="16" t="str">
        <f aca="false">IF(OR(C49&lt;&gt;"Closed",E49=""),"",(YEAR(J131)-YEAR(E49))*12+MONTH(J131)-MONTH(E49)+1)</f>
        <v/>
      </c>
      <c r="K169" s="16" t="str">
        <f aca="false">IF(OR(C49&lt;&gt;"Closed",E49=""),"",(YEAR(K131)-YEAR(E49))*12+MONTH(K131)-MONTH(E49)+1)</f>
        <v/>
      </c>
      <c r="L169" s="16" t="str">
        <f aca="false">IF(OR(C49&lt;&gt;"Closed",E49=""),"",(YEAR(L131)-YEAR(E49))*12+MONTH(L131)-MONTH(E49)+1)</f>
        <v/>
      </c>
      <c r="M169" s="16" t="str">
        <f aca="false">IF(OR(C49&lt;&gt;"Closed",E49=""),"",(YEAR(M131)-YEAR(E49))*12+MONTH(M131)-MONTH(E49)+1)</f>
        <v/>
      </c>
      <c r="N169" s="16" t="str">
        <f aca="false">IF(OR(C49&lt;&gt;"Closed",E49=""),"",(YEAR(N131)-YEAR(E49))*12+MONTH(N131)-MONTH(E49)+1)</f>
        <v/>
      </c>
      <c r="O169" s="16" t="str">
        <f aca="false">IF(OR(C49&lt;&gt;"Closed",E49=""),"",(YEAR(O131)-YEAR(E49))*12+MONTH(O131)-MONTH(E49)+1)</f>
        <v/>
      </c>
      <c r="P169" s="16" t="str">
        <f aca="false">IF(OR(C49&lt;&gt;"Closed",E49=""),"",(YEAR(P131)-YEAR(E49))*12+MONTH(P131)-MONTH(E49)+1)</f>
        <v/>
      </c>
      <c r="Q169" s="16" t="str">
        <f aca="false">IF(OR(C49&lt;&gt;"Closed",E49=""),"",(YEAR(Q131)-YEAR(E49))*12+MONTH(Q131)-MONTH(E49)+1)</f>
        <v/>
      </c>
      <c r="R169" s="16" t="str">
        <f aca="false">IF(OR(C49&lt;&gt;"Closed",E49=""),"",(YEAR(R131)-YEAR(E49))*12+MONTH(R131)-MONTH(E49)+1)</f>
        <v/>
      </c>
      <c r="S169" s="16" t="str">
        <f aca="false">IF(OR(C49&lt;&gt;"Closed",E49=""),"",(YEAR(S131)-YEAR(E49))*12+MONTH(S131)-MONTH(E49)+1)</f>
        <v/>
      </c>
      <c r="T169" s="16" t="str">
        <f aca="false">IF(OR(C49&lt;&gt;"Closed",E49=""),"",(YEAR(T131)-YEAR(E49))*12+MONTH(T131)-MONTH(E49)+1)</f>
        <v/>
      </c>
    </row>
    <row r="170" customFormat="false" ht="15" hidden="false" customHeight="false" outlineLevel="0" collapsed="false">
      <c r="A170" s="29" t="str">
        <f aca="false">A50</f>
        <v/>
      </c>
      <c r="B170" s="29" t="str">
        <f aca="false">B50</f>
        <v/>
      </c>
      <c r="I170" s="16" t="str">
        <f aca="false">IF(OR(C50&lt;&gt;"Closed",E50=""),"",(YEAR(I131)-YEAR(E50))*12+MONTH(I131)-MONTH(E50)+1)</f>
        <v/>
      </c>
      <c r="J170" s="16" t="str">
        <f aca="false">IF(OR(C50&lt;&gt;"Closed",E50=""),"",(YEAR(J131)-YEAR(E50))*12+MONTH(J131)-MONTH(E50)+1)</f>
        <v/>
      </c>
      <c r="K170" s="16" t="str">
        <f aca="false">IF(OR(C50&lt;&gt;"Closed",E50=""),"",(YEAR(K131)-YEAR(E50))*12+MONTH(K131)-MONTH(E50)+1)</f>
        <v/>
      </c>
      <c r="L170" s="16" t="str">
        <f aca="false">IF(OR(C50&lt;&gt;"Closed",E50=""),"",(YEAR(L131)-YEAR(E50))*12+MONTH(L131)-MONTH(E50)+1)</f>
        <v/>
      </c>
      <c r="M170" s="16" t="str">
        <f aca="false">IF(OR(C50&lt;&gt;"Closed",E50=""),"",(YEAR(M131)-YEAR(E50))*12+MONTH(M131)-MONTH(E50)+1)</f>
        <v/>
      </c>
      <c r="N170" s="16" t="str">
        <f aca="false">IF(OR(C50&lt;&gt;"Closed",E50=""),"",(YEAR(N131)-YEAR(E50))*12+MONTH(N131)-MONTH(E50)+1)</f>
        <v/>
      </c>
      <c r="O170" s="16" t="str">
        <f aca="false">IF(OR(C50&lt;&gt;"Closed",E50=""),"",(YEAR(O131)-YEAR(E50))*12+MONTH(O131)-MONTH(E50)+1)</f>
        <v/>
      </c>
      <c r="P170" s="16" t="str">
        <f aca="false">IF(OR(C50&lt;&gt;"Closed",E50=""),"",(YEAR(P131)-YEAR(E50))*12+MONTH(P131)-MONTH(E50)+1)</f>
        <v/>
      </c>
      <c r="Q170" s="16" t="str">
        <f aca="false">IF(OR(C50&lt;&gt;"Closed",E50=""),"",(YEAR(Q131)-YEAR(E50))*12+MONTH(Q131)-MONTH(E50)+1)</f>
        <v/>
      </c>
      <c r="R170" s="16" t="str">
        <f aca="false">IF(OR(C50&lt;&gt;"Closed",E50=""),"",(YEAR(R131)-YEAR(E50))*12+MONTH(R131)-MONTH(E50)+1)</f>
        <v/>
      </c>
      <c r="S170" s="16" t="str">
        <f aca="false">IF(OR(C50&lt;&gt;"Closed",E50=""),"",(YEAR(S131)-YEAR(E50))*12+MONTH(S131)-MONTH(E50)+1)</f>
        <v/>
      </c>
      <c r="T170" s="16" t="str">
        <f aca="false">IF(OR(C50&lt;&gt;"Closed",E50=""),"",(YEAR(T131)-YEAR(E50))*12+MONTH(T131)-MONTH(E50)+1)</f>
        <v/>
      </c>
    </row>
    <row r="171" customFormat="false" ht="15" hidden="false" customHeight="false" outlineLevel="0" collapsed="false">
      <c r="A171" s="29" t="str">
        <f aca="false">A51</f>
        <v/>
      </c>
      <c r="B171" s="29" t="str">
        <f aca="false">B51</f>
        <v/>
      </c>
      <c r="I171" s="16" t="str">
        <f aca="false">IF(OR(C51&lt;&gt;"Closed",E51=""),"",(YEAR(I131)-YEAR(E51))*12+MONTH(I131)-MONTH(E51)+1)</f>
        <v/>
      </c>
      <c r="J171" s="16" t="str">
        <f aca="false">IF(OR(C51&lt;&gt;"Closed",E51=""),"",(YEAR(J131)-YEAR(E51))*12+MONTH(J131)-MONTH(E51)+1)</f>
        <v/>
      </c>
      <c r="K171" s="16" t="str">
        <f aca="false">IF(OR(C51&lt;&gt;"Closed",E51=""),"",(YEAR(K131)-YEAR(E51))*12+MONTH(K131)-MONTH(E51)+1)</f>
        <v/>
      </c>
      <c r="L171" s="16" t="str">
        <f aca="false">IF(OR(C51&lt;&gt;"Closed",E51=""),"",(YEAR(L131)-YEAR(E51))*12+MONTH(L131)-MONTH(E51)+1)</f>
        <v/>
      </c>
      <c r="M171" s="16" t="str">
        <f aca="false">IF(OR(C51&lt;&gt;"Closed",E51=""),"",(YEAR(M131)-YEAR(E51))*12+MONTH(M131)-MONTH(E51)+1)</f>
        <v/>
      </c>
      <c r="N171" s="16" t="str">
        <f aca="false">IF(OR(C51&lt;&gt;"Closed",E51=""),"",(YEAR(N131)-YEAR(E51))*12+MONTH(N131)-MONTH(E51)+1)</f>
        <v/>
      </c>
      <c r="O171" s="16" t="str">
        <f aca="false">IF(OR(C51&lt;&gt;"Closed",E51=""),"",(YEAR(O131)-YEAR(E51))*12+MONTH(O131)-MONTH(E51)+1)</f>
        <v/>
      </c>
      <c r="P171" s="16" t="str">
        <f aca="false">IF(OR(C51&lt;&gt;"Closed",E51=""),"",(YEAR(P131)-YEAR(E51))*12+MONTH(P131)-MONTH(E51)+1)</f>
        <v/>
      </c>
      <c r="Q171" s="16" t="str">
        <f aca="false">IF(OR(C51&lt;&gt;"Closed",E51=""),"",(YEAR(Q131)-YEAR(E51))*12+MONTH(Q131)-MONTH(E51)+1)</f>
        <v/>
      </c>
      <c r="R171" s="16" t="str">
        <f aca="false">IF(OR(C51&lt;&gt;"Closed",E51=""),"",(YEAR(R131)-YEAR(E51))*12+MONTH(R131)-MONTH(E51)+1)</f>
        <v/>
      </c>
      <c r="S171" s="16" t="str">
        <f aca="false">IF(OR(C51&lt;&gt;"Closed",E51=""),"",(YEAR(S131)-YEAR(E51))*12+MONTH(S131)-MONTH(E51)+1)</f>
        <v/>
      </c>
      <c r="T171" s="16" t="str">
        <f aca="false">IF(OR(C51&lt;&gt;"Closed",E51=""),"",(YEAR(T131)-YEAR(E51))*12+MONTH(T131)-MONTH(E51)+1)</f>
        <v/>
      </c>
    </row>
    <row r="172" customFormat="false" ht="15" hidden="false" customHeight="false" outlineLevel="0" collapsed="false">
      <c r="A172" s="29" t="str">
        <f aca="false">A52</f>
        <v/>
      </c>
      <c r="B172" s="29" t="str">
        <f aca="false">B52</f>
        <v/>
      </c>
      <c r="I172" s="16" t="str">
        <f aca="false">IF(OR(C52&lt;&gt;"Closed",E52=""),"",(YEAR(I131)-YEAR(E52))*12+MONTH(I131)-MONTH(E52)+1)</f>
        <v/>
      </c>
      <c r="J172" s="16" t="str">
        <f aca="false">IF(OR(C52&lt;&gt;"Closed",E52=""),"",(YEAR(J131)-YEAR(E52))*12+MONTH(J131)-MONTH(E52)+1)</f>
        <v/>
      </c>
      <c r="K172" s="16" t="str">
        <f aca="false">IF(OR(C52&lt;&gt;"Closed",E52=""),"",(YEAR(K131)-YEAR(E52))*12+MONTH(K131)-MONTH(E52)+1)</f>
        <v/>
      </c>
      <c r="L172" s="16" t="str">
        <f aca="false">IF(OR(C52&lt;&gt;"Closed",E52=""),"",(YEAR(L131)-YEAR(E52))*12+MONTH(L131)-MONTH(E52)+1)</f>
        <v/>
      </c>
      <c r="M172" s="16" t="str">
        <f aca="false">IF(OR(C52&lt;&gt;"Closed",E52=""),"",(YEAR(M131)-YEAR(E52))*12+MONTH(M131)-MONTH(E52)+1)</f>
        <v/>
      </c>
      <c r="N172" s="16" t="str">
        <f aca="false">IF(OR(C52&lt;&gt;"Closed",E52=""),"",(YEAR(N131)-YEAR(E52))*12+MONTH(N131)-MONTH(E52)+1)</f>
        <v/>
      </c>
      <c r="O172" s="16" t="str">
        <f aca="false">IF(OR(C52&lt;&gt;"Closed",E52=""),"",(YEAR(O131)-YEAR(E52))*12+MONTH(O131)-MONTH(E52)+1)</f>
        <v/>
      </c>
      <c r="P172" s="16" t="str">
        <f aca="false">IF(OR(C52&lt;&gt;"Closed",E52=""),"",(YEAR(P131)-YEAR(E52))*12+MONTH(P131)-MONTH(E52)+1)</f>
        <v/>
      </c>
      <c r="Q172" s="16" t="str">
        <f aca="false">IF(OR(C52&lt;&gt;"Closed",E52=""),"",(YEAR(Q131)-YEAR(E52))*12+MONTH(Q131)-MONTH(E52)+1)</f>
        <v/>
      </c>
      <c r="R172" s="16" t="str">
        <f aca="false">IF(OR(C52&lt;&gt;"Closed",E52=""),"",(YEAR(R131)-YEAR(E52))*12+MONTH(R131)-MONTH(E52)+1)</f>
        <v/>
      </c>
      <c r="S172" s="16" t="str">
        <f aca="false">IF(OR(C52&lt;&gt;"Closed",E52=""),"",(YEAR(S131)-YEAR(E52))*12+MONTH(S131)-MONTH(E52)+1)</f>
        <v/>
      </c>
      <c r="T172" s="16" t="str">
        <f aca="false">IF(OR(C52&lt;&gt;"Closed",E52=""),"",(YEAR(T131)-YEAR(E52))*12+MONTH(T131)-MONTH(E52)+1)</f>
        <v/>
      </c>
    </row>
    <row r="173" customFormat="false" ht="15" hidden="false" customHeight="false" outlineLevel="0" collapsed="false">
      <c r="A173" s="29" t="str">
        <f aca="false">A53</f>
        <v/>
      </c>
      <c r="B173" s="29" t="str">
        <f aca="false">B53</f>
        <v/>
      </c>
      <c r="I173" s="16" t="str">
        <f aca="false">IF(OR(C53&lt;&gt;"Closed",E53=""),"",(YEAR(I131)-YEAR(E53))*12+MONTH(I131)-MONTH(E53)+1)</f>
        <v/>
      </c>
      <c r="J173" s="16" t="str">
        <f aca="false">IF(OR(C53&lt;&gt;"Closed",E53=""),"",(YEAR(J131)-YEAR(E53))*12+MONTH(J131)-MONTH(E53)+1)</f>
        <v/>
      </c>
      <c r="K173" s="16" t="str">
        <f aca="false">IF(OR(C53&lt;&gt;"Closed",E53=""),"",(YEAR(K131)-YEAR(E53))*12+MONTH(K131)-MONTH(E53)+1)</f>
        <v/>
      </c>
      <c r="L173" s="16" t="str">
        <f aca="false">IF(OR(C53&lt;&gt;"Closed",E53=""),"",(YEAR(L131)-YEAR(E53))*12+MONTH(L131)-MONTH(E53)+1)</f>
        <v/>
      </c>
      <c r="M173" s="16" t="str">
        <f aca="false">IF(OR(C53&lt;&gt;"Closed",E53=""),"",(YEAR(M131)-YEAR(E53))*12+MONTH(M131)-MONTH(E53)+1)</f>
        <v/>
      </c>
      <c r="N173" s="16" t="str">
        <f aca="false">IF(OR(C53&lt;&gt;"Closed",E53=""),"",(YEAR(N131)-YEAR(E53))*12+MONTH(N131)-MONTH(E53)+1)</f>
        <v/>
      </c>
      <c r="O173" s="16" t="str">
        <f aca="false">IF(OR(C53&lt;&gt;"Closed",E53=""),"",(YEAR(O131)-YEAR(E53))*12+MONTH(O131)-MONTH(E53)+1)</f>
        <v/>
      </c>
      <c r="P173" s="16" t="str">
        <f aca="false">IF(OR(C53&lt;&gt;"Closed",E53=""),"",(YEAR(P131)-YEAR(E53))*12+MONTH(P131)-MONTH(E53)+1)</f>
        <v/>
      </c>
      <c r="Q173" s="16" t="str">
        <f aca="false">IF(OR(C53&lt;&gt;"Closed",E53=""),"",(YEAR(Q131)-YEAR(E53))*12+MONTH(Q131)-MONTH(E53)+1)</f>
        <v/>
      </c>
      <c r="R173" s="16" t="str">
        <f aca="false">IF(OR(C53&lt;&gt;"Closed",E53=""),"",(YEAR(R131)-YEAR(E53))*12+MONTH(R131)-MONTH(E53)+1)</f>
        <v/>
      </c>
      <c r="S173" s="16" t="str">
        <f aca="false">IF(OR(C53&lt;&gt;"Closed",E53=""),"",(YEAR(S131)-YEAR(E53))*12+MONTH(S131)-MONTH(E53)+1)</f>
        <v/>
      </c>
      <c r="T173" s="16" t="str">
        <f aca="false">IF(OR(C53&lt;&gt;"Closed",E53=""),"",(YEAR(T131)-YEAR(E53))*12+MONTH(T131)-MONTH(E53)+1)</f>
        <v/>
      </c>
    </row>
    <row r="174" customFormat="false" ht="15" hidden="false" customHeight="false" outlineLevel="0" collapsed="false">
      <c r="A174" s="29" t="str">
        <f aca="false">A54</f>
        <v/>
      </c>
      <c r="B174" s="29" t="str">
        <f aca="false">B54</f>
        <v/>
      </c>
      <c r="I174" s="16" t="str">
        <f aca="false">IF(OR(C54&lt;&gt;"Closed",E54=""),"",(YEAR(I131)-YEAR(E54))*12+MONTH(I131)-MONTH(E54)+1)</f>
        <v/>
      </c>
      <c r="J174" s="16" t="str">
        <f aca="false">IF(OR(C54&lt;&gt;"Closed",E54=""),"",(YEAR(J131)-YEAR(E54))*12+MONTH(J131)-MONTH(E54)+1)</f>
        <v/>
      </c>
      <c r="K174" s="16" t="str">
        <f aca="false">IF(OR(C54&lt;&gt;"Closed",E54=""),"",(YEAR(K131)-YEAR(E54))*12+MONTH(K131)-MONTH(E54)+1)</f>
        <v/>
      </c>
      <c r="L174" s="16" t="str">
        <f aca="false">IF(OR(C54&lt;&gt;"Closed",E54=""),"",(YEAR(L131)-YEAR(E54))*12+MONTH(L131)-MONTH(E54)+1)</f>
        <v/>
      </c>
      <c r="M174" s="16" t="str">
        <f aca="false">IF(OR(C54&lt;&gt;"Closed",E54=""),"",(YEAR(M131)-YEAR(E54))*12+MONTH(M131)-MONTH(E54)+1)</f>
        <v/>
      </c>
      <c r="N174" s="16" t="str">
        <f aca="false">IF(OR(C54&lt;&gt;"Closed",E54=""),"",(YEAR(N131)-YEAR(E54))*12+MONTH(N131)-MONTH(E54)+1)</f>
        <v/>
      </c>
      <c r="O174" s="16" t="str">
        <f aca="false">IF(OR(C54&lt;&gt;"Closed",E54=""),"",(YEAR(O131)-YEAR(E54))*12+MONTH(O131)-MONTH(E54)+1)</f>
        <v/>
      </c>
      <c r="P174" s="16" t="str">
        <f aca="false">IF(OR(C54&lt;&gt;"Closed",E54=""),"",(YEAR(P131)-YEAR(E54))*12+MONTH(P131)-MONTH(E54)+1)</f>
        <v/>
      </c>
      <c r="Q174" s="16" t="str">
        <f aca="false">IF(OR(C54&lt;&gt;"Closed",E54=""),"",(YEAR(Q131)-YEAR(E54))*12+MONTH(Q131)-MONTH(E54)+1)</f>
        <v/>
      </c>
      <c r="R174" s="16" t="str">
        <f aca="false">IF(OR(C54&lt;&gt;"Closed",E54=""),"",(YEAR(R131)-YEAR(E54))*12+MONTH(R131)-MONTH(E54)+1)</f>
        <v/>
      </c>
      <c r="S174" s="16" t="str">
        <f aca="false">IF(OR(C54&lt;&gt;"Closed",E54=""),"",(YEAR(S131)-YEAR(E54))*12+MONTH(S131)-MONTH(E54)+1)</f>
        <v/>
      </c>
      <c r="T174" s="16" t="str">
        <f aca="false">IF(OR(C54&lt;&gt;"Closed",E54=""),"",(YEAR(T131)-YEAR(E54))*12+MONTH(T131)-MONTH(E54)+1)</f>
        <v/>
      </c>
    </row>
    <row r="175" customFormat="false" ht="15" hidden="false" customHeight="false" outlineLevel="0" collapsed="false">
      <c r="A175" s="29" t="str">
        <f aca="false">A55</f>
        <v/>
      </c>
      <c r="B175" s="29" t="str">
        <f aca="false">B55</f>
        <v/>
      </c>
      <c r="I175" s="16" t="str">
        <f aca="false">IF(OR(C55&lt;&gt;"Closed",E55=""),"",(YEAR(I131)-YEAR(E55))*12+MONTH(I131)-MONTH(E55)+1)</f>
        <v/>
      </c>
      <c r="J175" s="16" t="str">
        <f aca="false">IF(OR(C55&lt;&gt;"Closed",E55=""),"",(YEAR(J131)-YEAR(E55))*12+MONTH(J131)-MONTH(E55)+1)</f>
        <v/>
      </c>
      <c r="K175" s="16" t="str">
        <f aca="false">IF(OR(C55&lt;&gt;"Closed",E55=""),"",(YEAR(K131)-YEAR(E55))*12+MONTH(K131)-MONTH(E55)+1)</f>
        <v/>
      </c>
      <c r="L175" s="16" t="str">
        <f aca="false">IF(OR(C55&lt;&gt;"Closed",E55=""),"",(YEAR(L131)-YEAR(E55))*12+MONTH(L131)-MONTH(E55)+1)</f>
        <v/>
      </c>
      <c r="M175" s="16" t="str">
        <f aca="false">IF(OR(C55&lt;&gt;"Closed",E55=""),"",(YEAR(M131)-YEAR(E55))*12+MONTH(M131)-MONTH(E55)+1)</f>
        <v/>
      </c>
      <c r="N175" s="16" t="str">
        <f aca="false">IF(OR(C55&lt;&gt;"Closed",E55=""),"",(YEAR(N131)-YEAR(E55))*12+MONTH(N131)-MONTH(E55)+1)</f>
        <v/>
      </c>
      <c r="O175" s="16" t="str">
        <f aca="false">IF(OR(C55&lt;&gt;"Closed",E55=""),"",(YEAR(O131)-YEAR(E55))*12+MONTH(O131)-MONTH(E55)+1)</f>
        <v/>
      </c>
      <c r="P175" s="16" t="str">
        <f aca="false">IF(OR(C55&lt;&gt;"Closed",E55=""),"",(YEAR(P131)-YEAR(E55))*12+MONTH(P131)-MONTH(E55)+1)</f>
        <v/>
      </c>
      <c r="Q175" s="16" t="str">
        <f aca="false">IF(OR(C55&lt;&gt;"Closed",E55=""),"",(YEAR(Q131)-YEAR(E55))*12+MONTH(Q131)-MONTH(E55)+1)</f>
        <v/>
      </c>
      <c r="R175" s="16" t="str">
        <f aca="false">IF(OR(C55&lt;&gt;"Closed",E55=""),"",(YEAR(R131)-YEAR(E55))*12+MONTH(R131)-MONTH(E55)+1)</f>
        <v/>
      </c>
      <c r="S175" s="16" t="str">
        <f aca="false">IF(OR(C55&lt;&gt;"Closed",E55=""),"",(YEAR(S131)-YEAR(E55))*12+MONTH(S131)-MONTH(E55)+1)</f>
        <v/>
      </c>
      <c r="T175" s="16" t="str">
        <f aca="false">IF(OR(C55&lt;&gt;"Closed",E55=""),"",(YEAR(T131)-YEAR(E55))*12+MONTH(T131)-MONTH(E55)+1)</f>
        <v/>
      </c>
    </row>
    <row r="176" customFormat="false" ht="15" hidden="false" customHeight="false" outlineLevel="0" collapsed="false">
      <c r="A176" s="29" t="str">
        <f aca="false">A56</f>
        <v/>
      </c>
      <c r="B176" s="29" t="str">
        <f aca="false">B56</f>
        <v/>
      </c>
      <c r="I176" s="16" t="str">
        <f aca="false">IF(OR(C56&lt;&gt;"Closed",E56=""),"",(YEAR(I131)-YEAR(E56))*12+MONTH(I131)-MONTH(E56)+1)</f>
        <v/>
      </c>
      <c r="J176" s="16" t="str">
        <f aca="false">IF(OR(C56&lt;&gt;"Closed",E56=""),"",(YEAR(J131)-YEAR(E56))*12+MONTH(J131)-MONTH(E56)+1)</f>
        <v/>
      </c>
      <c r="K176" s="16" t="str">
        <f aca="false">IF(OR(C56&lt;&gt;"Closed",E56=""),"",(YEAR(K131)-YEAR(E56))*12+MONTH(K131)-MONTH(E56)+1)</f>
        <v/>
      </c>
      <c r="L176" s="16" t="str">
        <f aca="false">IF(OR(C56&lt;&gt;"Closed",E56=""),"",(YEAR(L131)-YEAR(E56))*12+MONTH(L131)-MONTH(E56)+1)</f>
        <v/>
      </c>
      <c r="M176" s="16" t="str">
        <f aca="false">IF(OR(C56&lt;&gt;"Closed",E56=""),"",(YEAR(M131)-YEAR(E56))*12+MONTH(M131)-MONTH(E56)+1)</f>
        <v/>
      </c>
      <c r="N176" s="16" t="str">
        <f aca="false">IF(OR(C56&lt;&gt;"Closed",E56=""),"",(YEAR(N131)-YEAR(E56))*12+MONTH(N131)-MONTH(E56)+1)</f>
        <v/>
      </c>
      <c r="O176" s="16" t="str">
        <f aca="false">IF(OR(C56&lt;&gt;"Closed",E56=""),"",(YEAR(O131)-YEAR(E56))*12+MONTH(O131)-MONTH(E56)+1)</f>
        <v/>
      </c>
      <c r="P176" s="16" t="str">
        <f aca="false">IF(OR(C56&lt;&gt;"Closed",E56=""),"",(YEAR(P131)-YEAR(E56))*12+MONTH(P131)-MONTH(E56)+1)</f>
        <v/>
      </c>
      <c r="Q176" s="16" t="str">
        <f aca="false">IF(OR(C56&lt;&gt;"Closed",E56=""),"",(YEAR(Q131)-YEAR(E56))*12+MONTH(Q131)-MONTH(E56)+1)</f>
        <v/>
      </c>
      <c r="R176" s="16" t="str">
        <f aca="false">IF(OR(C56&lt;&gt;"Closed",E56=""),"",(YEAR(R131)-YEAR(E56))*12+MONTH(R131)-MONTH(E56)+1)</f>
        <v/>
      </c>
      <c r="S176" s="16" t="str">
        <f aca="false">IF(OR(C56&lt;&gt;"Closed",E56=""),"",(YEAR(S131)-YEAR(E56))*12+MONTH(S131)-MONTH(E56)+1)</f>
        <v/>
      </c>
      <c r="T176" s="16" t="str">
        <f aca="false">IF(OR(C56&lt;&gt;"Closed",E56=""),"",(YEAR(T131)-YEAR(E56))*12+MONTH(T131)-MONTH(E56)+1)</f>
        <v/>
      </c>
    </row>
    <row r="177" customFormat="false" ht="15" hidden="false" customHeight="false" outlineLevel="0" collapsed="false">
      <c r="A177" s="29" t="str">
        <f aca="false">A57</f>
        <v/>
      </c>
      <c r="B177" s="29" t="str">
        <f aca="false">B57</f>
        <v/>
      </c>
      <c r="I177" s="16" t="str">
        <f aca="false">IF(OR(C57&lt;&gt;"Closed",E57=""),"",(YEAR(I131)-YEAR(E57))*12+MONTH(I131)-MONTH(E57)+1)</f>
        <v/>
      </c>
      <c r="J177" s="16" t="str">
        <f aca="false">IF(OR(C57&lt;&gt;"Closed",E57=""),"",(YEAR(J131)-YEAR(E57))*12+MONTH(J131)-MONTH(E57)+1)</f>
        <v/>
      </c>
      <c r="K177" s="16" t="str">
        <f aca="false">IF(OR(C57&lt;&gt;"Closed",E57=""),"",(YEAR(K131)-YEAR(E57))*12+MONTH(K131)-MONTH(E57)+1)</f>
        <v/>
      </c>
      <c r="L177" s="16" t="str">
        <f aca="false">IF(OR(C57&lt;&gt;"Closed",E57=""),"",(YEAR(L131)-YEAR(E57))*12+MONTH(L131)-MONTH(E57)+1)</f>
        <v/>
      </c>
      <c r="M177" s="16" t="str">
        <f aca="false">IF(OR(C57&lt;&gt;"Closed",E57=""),"",(YEAR(M131)-YEAR(E57))*12+MONTH(M131)-MONTH(E57)+1)</f>
        <v/>
      </c>
      <c r="N177" s="16" t="str">
        <f aca="false">IF(OR(C57&lt;&gt;"Closed",E57=""),"",(YEAR(N131)-YEAR(E57))*12+MONTH(N131)-MONTH(E57)+1)</f>
        <v/>
      </c>
      <c r="O177" s="16" t="str">
        <f aca="false">IF(OR(C57&lt;&gt;"Closed",E57=""),"",(YEAR(O131)-YEAR(E57))*12+MONTH(O131)-MONTH(E57)+1)</f>
        <v/>
      </c>
      <c r="P177" s="16" t="str">
        <f aca="false">IF(OR(C57&lt;&gt;"Closed",E57=""),"",(YEAR(P131)-YEAR(E57))*12+MONTH(P131)-MONTH(E57)+1)</f>
        <v/>
      </c>
      <c r="Q177" s="16" t="str">
        <f aca="false">IF(OR(C57&lt;&gt;"Closed",E57=""),"",(YEAR(Q131)-YEAR(E57))*12+MONTH(Q131)-MONTH(E57)+1)</f>
        <v/>
      </c>
      <c r="R177" s="16" t="str">
        <f aca="false">IF(OR(C57&lt;&gt;"Closed",E57=""),"",(YEAR(R131)-YEAR(E57))*12+MONTH(R131)-MONTH(E57)+1)</f>
        <v/>
      </c>
      <c r="S177" s="16" t="str">
        <f aca="false">IF(OR(C57&lt;&gt;"Closed",E57=""),"",(YEAR(S131)-YEAR(E57))*12+MONTH(S131)-MONTH(E57)+1)</f>
        <v/>
      </c>
      <c r="T177" s="16" t="str">
        <f aca="false">IF(OR(C57&lt;&gt;"Closed",E57=""),"",(YEAR(T131)-YEAR(E57))*12+MONTH(T131)-MONTH(E57)+1)</f>
        <v/>
      </c>
    </row>
    <row r="178" customFormat="false" ht="15" hidden="false" customHeight="false" outlineLevel="0" collapsed="false">
      <c r="A178" s="29" t="str">
        <f aca="false">A58</f>
        <v/>
      </c>
      <c r="B178" s="29" t="str">
        <f aca="false">B58</f>
        <v/>
      </c>
      <c r="I178" s="16" t="str">
        <f aca="false">IF(OR(C58&lt;&gt;"Closed",E58=""),"",(YEAR(I131)-YEAR(E58))*12+MONTH(I131)-MONTH(E58)+1)</f>
        <v/>
      </c>
      <c r="J178" s="16" t="str">
        <f aca="false">IF(OR(C58&lt;&gt;"Closed",E58=""),"",(YEAR(J131)-YEAR(E58))*12+MONTH(J131)-MONTH(E58)+1)</f>
        <v/>
      </c>
      <c r="K178" s="16" t="str">
        <f aca="false">IF(OR(C58&lt;&gt;"Closed",E58=""),"",(YEAR(K131)-YEAR(E58))*12+MONTH(K131)-MONTH(E58)+1)</f>
        <v/>
      </c>
      <c r="L178" s="16" t="str">
        <f aca="false">IF(OR(C58&lt;&gt;"Closed",E58=""),"",(YEAR(L131)-YEAR(E58))*12+MONTH(L131)-MONTH(E58)+1)</f>
        <v/>
      </c>
      <c r="M178" s="16" t="str">
        <f aca="false">IF(OR(C58&lt;&gt;"Closed",E58=""),"",(YEAR(M131)-YEAR(E58))*12+MONTH(M131)-MONTH(E58)+1)</f>
        <v/>
      </c>
      <c r="N178" s="16" t="str">
        <f aca="false">IF(OR(C58&lt;&gt;"Closed",E58=""),"",(YEAR(N131)-YEAR(E58))*12+MONTH(N131)-MONTH(E58)+1)</f>
        <v/>
      </c>
      <c r="O178" s="16" t="str">
        <f aca="false">IF(OR(C58&lt;&gt;"Closed",E58=""),"",(YEAR(O131)-YEAR(E58))*12+MONTH(O131)-MONTH(E58)+1)</f>
        <v/>
      </c>
      <c r="P178" s="16" t="str">
        <f aca="false">IF(OR(C58&lt;&gt;"Closed",E58=""),"",(YEAR(P131)-YEAR(E58))*12+MONTH(P131)-MONTH(E58)+1)</f>
        <v/>
      </c>
      <c r="Q178" s="16" t="str">
        <f aca="false">IF(OR(C58&lt;&gt;"Closed",E58=""),"",(YEAR(Q131)-YEAR(E58))*12+MONTH(Q131)-MONTH(E58)+1)</f>
        <v/>
      </c>
      <c r="R178" s="16" t="str">
        <f aca="false">IF(OR(C58&lt;&gt;"Closed",E58=""),"",(YEAR(R131)-YEAR(E58))*12+MONTH(R131)-MONTH(E58)+1)</f>
        <v/>
      </c>
      <c r="S178" s="16" t="str">
        <f aca="false">IF(OR(C58&lt;&gt;"Closed",E58=""),"",(YEAR(S131)-YEAR(E58))*12+MONTH(S131)-MONTH(E58)+1)</f>
        <v/>
      </c>
      <c r="T178" s="16" t="str">
        <f aca="false">IF(OR(C58&lt;&gt;"Closed",E58=""),"",(YEAR(T131)-YEAR(E58))*12+MONTH(T131)-MONTH(E58)+1)</f>
        <v/>
      </c>
    </row>
    <row r="179" customFormat="false" ht="15" hidden="false" customHeight="false" outlineLevel="0" collapsed="false">
      <c r="A179" s="29" t="str">
        <f aca="false">A59</f>
        <v/>
      </c>
      <c r="B179" s="29" t="str">
        <f aca="false">B59</f>
        <v/>
      </c>
      <c r="I179" s="16" t="str">
        <f aca="false">IF(OR(C59&lt;&gt;"Closed",E59=""),"",(YEAR(I131)-YEAR(E59))*12+MONTH(I131)-MONTH(E59)+1)</f>
        <v/>
      </c>
      <c r="J179" s="16" t="str">
        <f aca="false">IF(OR(C59&lt;&gt;"Closed",E59=""),"",(YEAR(J131)-YEAR(E59))*12+MONTH(J131)-MONTH(E59)+1)</f>
        <v/>
      </c>
      <c r="K179" s="16" t="str">
        <f aca="false">IF(OR(C59&lt;&gt;"Closed",E59=""),"",(YEAR(K131)-YEAR(E59))*12+MONTH(K131)-MONTH(E59)+1)</f>
        <v/>
      </c>
      <c r="L179" s="16" t="str">
        <f aca="false">IF(OR(C59&lt;&gt;"Closed",E59=""),"",(YEAR(L131)-YEAR(E59))*12+MONTH(L131)-MONTH(E59)+1)</f>
        <v/>
      </c>
      <c r="M179" s="16" t="str">
        <f aca="false">IF(OR(C59&lt;&gt;"Closed",E59=""),"",(YEAR(M131)-YEAR(E59))*12+MONTH(M131)-MONTH(E59)+1)</f>
        <v/>
      </c>
      <c r="N179" s="16" t="str">
        <f aca="false">IF(OR(C59&lt;&gt;"Closed",E59=""),"",(YEAR(N131)-YEAR(E59))*12+MONTH(N131)-MONTH(E59)+1)</f>
        <v/>
      </c>
      <c r="O179" s="16" t="str">
        <f aca="false">IF(OR(C59&lt;&gt;"Closed",E59=""),"",(YEAR(O131)-YEAR(E59))*12+MONTH(O131)-MONTH(E59)+1)</f>
        <v/>
      </c>
      <c r="P179" s="16" t="str">
        <f aca="false">IF(OR(C59&lt;&gt;"Closed",E59=""),"",(YEAR(P131)-YEAR(E59))*12+MONTH(P131)-MONTH(E59)+1)</f>
        <v/>
      </c>
      <c r="Q179" s="16" t="str">
        <f aca="false">IF(OR(C59&lt;&gt;"Closed",E59=""),"",(YEAR(Q131)-YEAR(E59))*12+MONTH(Q131)-MONTH(E59)+1)</f>
        <v/>
      </c>
      <c r="R179" s="16" t="str">
        <f aca="false">IF(OR(C59&lt;&gt;"Closed",E59=""),"",(YEAR(R131)-YEAR(E59))*12+MONTH(R131)-MONTH(E59)+1)</f>
        <v/>
      </c>
      <c r="S179" s="16" t="str">
        <f aca="false">IF(OR(C59&lt;&gt;"Closed",E59=""),"",(YEAR(S131)-YEAR(E59))*12+MONTH(S131)-MONTH(E59)+1)</f>
        <v/>
      </c>
      <c r="T179" s="16" t="str">
        <f aca="false">IF(OR(C59&lt;&gt;"Closed",E59=""),"",(YEAR(T131)-YEAR(E59))*12+MONTH(T131)-MONTH(E59)+1)</f>
        <v/>
      </c>
    </row>
    <row r="180" customFormat="false" ht="15" hidden="false" customHeight="false" outlineLevel="0" collapsed="false">
      <c r="A180" s="29" t="str">
        <f aca="false">A60</f>
        <v/>
      </c>
      <c r="B180" s="29" t="str">
        <f aca="false">B60</f>
        <v/>
      </c>
      <c r="I180" s="16" t="str">
        <f aca="false">IF(OR(C60&lt;&gt;"Closed",E60=""),"",(YEAR(I131)-YEAR(E60))*12+MONTH(I131)-MONTH(E60)+1)</f>
        <v/>
      </c>
      <c r="J180" s="16" t="str">
        <f aca="false">IF(OR(C60&lt;&gt;"Closed",E60=""),"",(YEAR(J131)-YEAR(E60))*12+MONTH(J131)-MONTH(E60)+1)</f>
        <v/>
      </c>
      <c r="K180" s="16" t="str">
        <f aca="false">IF(OR(C60&lt;&gt;"Closed",E60=""),"",(YEAR(K131)-YEAR(E60))*12+MONTH(K131)-MONTH(E60)+1)</f>
        <v/>
      </c>
      <c r="L180" s="16" t="str">
        <f aca="false">IF(OR(C60&lt;&gt;"Closed",E60=""),"",(YEAR(L131)-YEAR(E60))*12+MONTH(L131)-MONTH(E60)+1)</f>
        <v/>
      </c>
      <c r="M180" s="16" t="str">
        <f aca="false">IF(OR(C60&lt;&gt;"Closed",E60=""),"",(YEAR(M131)-YEAR(E60))*12+MONTH(M131)-MONTH(E60)+1)</f>
        <v/>
      </c>
      <c r="N180" s="16" t="str">
        <f aca="false">IF(OR(C60&lt;&gt;"Closed",E60=""),"",(YEAR(N131)-YEAR(E60))*12+MONTH(N131)-MONTH(E60)+1)</f>
        <v/>
      </c>
      <c r="O180" s="16" t="str">
        <f aca="false">IF(OR(C60&lt;&gt;"Closed",E60=""),"",(YEAR(O131)-YEAR(E60))*12+MONTH(O131)-MONTH(E60)+1)</f>
        <v/>
      </c>
      <c r="P180" s="16" t="str">
        <f aca="false">IF(OR(C60&lt;&gt;"Closed",E60=""),"",(YEAR(P131)-YEAR(E60))*12+MONTH(P131)-MONTH(E60)+1)</f>
        <v/>
      </c>
      <c r="Q180" s="16" t="str">
        <f aca="false">IF(OR(C60&lt;&gt;"Closed",E60=""),"",(YEAR(Q131)-YEAR(E60))*12+MONTH(Q131)-MONTH(E60)+1)</f>
        <v/>
      </c>
      <c r="R180" s="16" t="str">
        <f aca="false">IF(OR(C60&lt;&gt;"Closed",E60=""),"",(YEAR(R131)-YEAR(E60))*12+MONTH(R131)-MONTH(E60)+1)</f>
        <v/>
      </c>
      <c r="S180" s="16" t="str">
        <f aca="false">IF(OR(C60&lt;&gt;"Closed",E60=""),"",(YEAR(S131)-YEAR(E60))*12+MONTH(S131)-MONTH(E60)+1)</f>
        <v/>
      </c>
      <c r="T180" s="16" t="str">
        <f aca="false">IF(OR(C60&lt;&gt;"Closed",E60=""),"",(YEAR(T131)-YEAR(E60))*12+MONTH(T131)-MONTH(E60)+1)</f>
        <v/>
      </c>
    </row>
    <row r="181" customFormat="false" ht="15" hidden="false" customHeight="false" outlineLevel="0" collapsed="false">
      <c r="A181" s="29" t="str">
        <f aca="false">A61</f>
        <v/>
      </c>
      <c r="B181" s="29" t="str">
        <f aca="false">B61</f>
        <v/>
      </c>
      <c r="I181" s="16" t="str">
        <f aca="false">IF(OR(C61&lt;&gt;"Closed",E61=""),"",(YEAR(I131)-YEAR(E61))*12+MONTH(I131)-MONTH(E61)+1)</f>
        <v/>
      </c>
      <c r="J181" s="16" t="str">
        <f aca="false">IF(OR(C61&lt;&gt;"Closed",E61=""),"",(YEAR(J131)-YEAR(E61))*12+MONTH(J131)-MONTH(E61)+1)</f>
        <v/>
      </c>
      <c r="K181" s="16" t="str">
        <f aca="false">IF(OR(C61&lt;&gt;"Closed",E61=""),"",(YEAR(K131)-YEAR(E61))*12+MONTH(K131)-MONTH(E61)+1)</f>
        <v/>
      </c>
      <c r="L181" s="16" t="str">
        <f aca="false">IF(OR(C61&lt;&gt;"Closed",E61=""),"",(YEAR(L131)-YEAR(E61))*12+MONTH(L131)-MONTH(E61)+1)</f>
        <v/>
      </c>
      <c r="M181" s="16" t="str">
        <f aca="false">IF(OR(C61&lt;&gt;"Closed",E61=""),"",(YEAR(M131)-YEAR(E61))*12+MONTH(M131)-MONTH(E61)+1)</f>
        <v/>
      </c>
      <c r="N181" s="16" t="str">
        <f aca="false">IF(OR(C61&lt;&gt;"Closed",E61=""),"",(YEAR(N131)-YEAR(E61))*12+MONTH(N131)-MONTH(E61)+1)</f>
        <v/>
      </c>
      <c r="O181" s="16" t="str">
        <f aca="false">IF(OR(C61&lt;&gt;"Closed",E61=""),"",(YEAR(O131)-YEAR(E61))*12+MONTH(O131)-MONTH(E61)+1)</f>
        <v/>
      </c>
      <c r="P181" s="16" t="str">
        <f aca="false">IF(OR(C61&lt;&gt;"Closed",E61=""),"",(YEAR(P131)-YEAR(E61))*12+MONTH(P131)-MONTH(E61)+1)</f>
        <v/>
      </c>
      <c r="Q181" s="16" t="str">
        <f aca="false">IF(OR(C61&lt;&gt;"Closed",E61=""),"",(YEAR(Q131)-YEAR(E61))*12+MONTH(Q131)-MONTH(E61)+1)</f>
        <v/>
      </c>
      <c r="R181" s="16" t="str">
        <f aca="false">IF(OR(C61&lt;&gt;"Closed",E61=""),"",(YEAR(R131)-YEAR(E61))*12+MONTH(R131)-MONTH(E61)+1)</f>
        <v/>
      </c>
      <c r="S181" s="16" t="str">
        <f aca="false">IF(OR(C61&lt;&gt;"Closed",E61=""),"",(YEAR(S131)-YEAR(E61))*12+MONTH(S131)-MONTH(E61)+1)</f>
        <v/>
      </c>
      <c r="T181" s="16" t="str">
        <f aca="false">IF(OR(C61&lt;&gt;"Closed",E61=""),"",(YEAR(T131)-YEAR(E61))*12+MONTH(T131)-MONTH(E61)+1)</f>
        <v/>
      </c>
    </row>
    <row r="190" customFormat="false" ht="15" hidden="false" customHeight="false" outlineLevel="0" collapsed="false">
      <c r="A190" s="28" t="s">
        <v>75</v>
      </c>
    </row>
    <row r="191" customFormat="false" ht="15" hidden="false" customHeight="false" outlineLevel="0" collapsed="false">
      <c r="A191" s="10" t="s">
        <v>13</v>
      </c>
      <c r="B191" s="10" t="s">
        <v>70</v>
      </c>
      <c r="I191" s="30" t="n">
        <f aca="false">I131</f>
        <v>46296</v>
      </c>
      <c r="J191" s="30" t="n">
        <f aca="false">J131</f>
        <v>46327</v>
      </c>
      <c r="K191" s="30" t="n">
        <f aca="false">K131</f>
        <v>46357</v>
      </c>
      <c r="L191" s="30" t="n">
        <f aca="false">L131</f>
        <v>46388</v>
      </c>
      <c r="M191" s="30" t="n">
        <f aca="false">M131</f>
        <v>46419</v>
      </c>
      <c r="N191" s="30" t="n">
        <f aca="false">N131</f>
        <v>46447</v>
      </c>
      <c r="O191" s="30" t="n">
        <f aca="false">O131</f>
        <v>46478</v>
      </c>
      <c r="P191" s="30" t="n">
        <f aca="false">P131</f>
        <v>46508</v>
      </c>
      <c r="Q191" s="30" t="n">
        <f aca="false">Q131</f>
        <v>46539</v>
      </c>
      <c r="R191" s="30" t="n">
        <f aca="false">R131</f>
        <v>46569</v>
      </c>
      <c r="S191" s="30" t="n">
        <f aca="false">S131</f>
        <v>46600</v>
      </c>
      <c r="T191" s="30" t="n">
        <f aca="false">T131</f>
        <v>46631</v>
      </c>
    </row>
    <row r="192" customFormat="false" ht="15" hidden="false" customHeight="false" outlineLevel="0" collapsed="false">
      <c r="A192" s="29" t="n">
        <f aca="false">A12</f>
        <v>1</v>
      </c>
      <c r="B192" s="29" t="str">
        <f aca="false">B12</f>
        <v>SAMPLE Client A (replace)</v>
      </c>
      <c r="I192" s="31" t="n">
        <f aca="false">IF(I132="","",IF(I132&lt;1,"",IF(I132&gt;D12,"",INDEX(I12:BP12,1,I132))))</f>
        <v>15.3632540118027</v>
      </c>
      <c r="J192" s="31" t="n">
        <f aca="false">IF(J132="","",IF(J132&lt;1,"",IF(J132&gt;D12,"",INDEX(I12:BP12,1,J132))))</f>
        <v>15.1015029307835</v>
      </c>
      <c r="K192" s="31" t="n">
        <f aca="false">IF(K132="","",IF(K132&lt;1,"",IF(K132&gt;D12,"",INDEX(I12:BP12,1,K132))))</f>
        <v>14.839642786814</v>
      </c>
      <c r="L192" s="31" t="n">
        <f aca="false">IF(L132="","",IF(L132&lt;1,"",IF(L132&gt;D12,"",INDEX(I12:BP12,1,L132))))</f>
        <v>14.5776735344511</v>
      </c>
      <c r="M192" s="31" t="n">
        <f aca="false">IF(M132="","",IF(M132&lt;1,"",IF(M132&gt;D12,"",INDEX(I12:BP12,1,M132))))</f>
        <v>14.315595128233</v>
      </c>
      <c r="N192" s="31" t="n">
        <f aca="false">IF(N132="","",IF(N132&lt;1,"",IF(N132&gt;D12,"",INDEX(I12:BP12,1,N132))))</f>
        <v>14.0534075226791</v>
      </c>
      <c r="O192" s="31" t="n">
        <f aca="false">IF(O132="","",IF(O132&lt;1,"",IF(O132&gt;D12,"",INDEX(I12:BP12,1,O132))))</f>
        <v>13.7911106722894</v>
      </c>
      <c r="P192" s="31" t="n">
        <f aca="false">IF(P132="","",IF(P132&lt;1,"",IF(P132&gt;D12,"",INDEX(I12:BP12,1,P132))))</f>
        <v>13.5287045315455</v>
      </c>
      <c r="Q192" s="31" t="n">
        <f aca="false">IF(Q132="","",IF(Q132&lt;1,"",IF(Q132&gt;D12,"",INDEX(I12:BP12,1,Q132))))</f>
        <v>13.2661890549096</v>
      </c>
      <c r="R192" s="31" t="n">
        <f aca="false">IF(R132="","",IF(R132&lt;1,"",IF(R132&gt;D12,"",INDEX(I12:BP12,1,R132))))</f>
        <v>13.0035641968251</v>
      </c>
      <c r="S192" s="31" t="n">
        <f aca="false">IF(S132="","",IF(S132&lt;1,"",IF(S132&gt;D12,"",INDEX(I12:BP12,1,S132))))</f>
        <v>12.7408299117163</v>
      </c>
      <c r="T192" s="31" t="n">
        <f aca="false">IF(T132="","",IF(T132&lt;1,"",IF(T132&gt;D12,"",INDEX(I12:BP12,1,T132))))</f>
        <v>12.4779861539888</v>
      </c>
    </row>
    <row r="193" customFormat="false" ht="15" hidden="false" customHeight="false" outlineLevel="0" collapsed="false">
      <c r="A193" s="29" t="n">
        <f aca="false">A13</f>
        <v>2</v>
      </c>
      <c r="B193" s="29" t="str">
        <f aca="false">B13</f>
        <v>SAMPLE Client B (replace)</v>
      </c>
      <c r="I193" s="31" t="str">
        <f aca="false">IF(I133="","",IF(I133&lt;1,"",IF(I133&gt;D13,"",INDEX(I13:BP13,1,I133))))</f>
        <v/>
      </c>
      <c r="J193" s="31" t="str">
        <f aca="false">IF(J133="","",IF(J133&lt;1,"",IF(J133&gt;D13,"",INDEX(I13:BP13,1,J133))))</f>
        <v/>
      </c>
      <c r="K193" s="31" t="str">
        <f aca="false">IF(K133="","",IF(K133&lt;1,"",IF(K133&gt;D13,"",INDEX(I13:BP13,1,K133))))</f>
        <v/>
      </c>
      <c r="L193" s="31" t="str">
        <f aca="false">IF(L133="","",IF(L133&lt;1,"",IF(L133&gt;D13,"",INDEX(I13:BP13,1,L133))))</f>
        <v/>
      </c>
      <c r="M193" s="31" t="str">
        <f aca="false">IF(M133="","",IF(M133&lt;1,"",IF(M133&gt;D13,"",INDEX(I13:BP13,1,M133))))</f>
        <v/>
      </c>
      <c r="N193" s="31" t="str">
        <f aca="false">IF(N133="","",IF(N133&lt;1,"",IF(N133&gt;D13,"",INDEX(I13:BP13,1,N133))))</f>
        <v/>
      </c>
      <c r="O193" s="31" t="str">
        <f aca="false">IF(O133="","",IF(O133&lt;1,"",IF(O133&gt;D13,"",INDEX(I13:BP13,1,O133))))</f>
        <v/>
      </c>
      <c r="P193" s="31" t="str">
        <f aca="false">IF(P133="","",IF(P133&lt;1,"",IF(P133&gt;D13,"",INDEX(I13:BP13,1,P133))))</f>
        <v/>
      </c>
      <c r="Q193" s="31" t="str">
        <f aca="false">IF(Q133="","",IF(Q133&lt;1,"",IF(Q133&gt;D13,"",INDEX(I13:BP13,1,Q133))))</f>
        <v/>
      </c>
      <c r="R193" s="31" t="str">
        <f aca="false">IF(R133="","",IF(R133&lt;1,"",IF(R133&gt;D13,"",INDEX(I13:BP13,1,R133))))</f>
        <v/>
      </c>
      <c r="S193" s="31" t="str">
        <f aca="false">IF(S133="","",IF(S133&lt;1,"",IF(S133&gt;D13,"",INDEX(I13:BP13,1,S133))))</f>
        <v/>
      </c>
      <c r="T193" s="31" t="str">
        <f aca="false">IF(T133="","",IF(T133&lt;1,"",IF(T133&gt;D13,"",INDEX(I13:BP13,1,T133))))</f>
        <v/>
      </c>
    </row>
    <row r="194" customFormat="false" ht="15" hidden="false" customHeight="false" outlineLevel="0" collapsed="false">
      <c r="A194" s="29" t="n">
        <f aca="false">A14</f>
        <v>3</v>
      </c>
      <c r="B194" s="29" t="str">
        <f aca="false">B14</f>
        <v>SAMPLE Client C (replace)</v>
      </c>
      <c r="I194" s="31" t="str">
        <f aca="false">IF(I134="","",IF(I134&lt;1,"",IF(I134&gt;D14,"",INDEX(I14:BP14,1,I134))))</f>
        <v/>
      </c>
      <c r="J194" s="31" t="str">
        <f aca="false">IF(J134="","",IF(J134&lt;1,"",IF(J134&gt;D14,"",INDEX(I14:BP14,1,J134))))</f>
        <v/>
      </c>
      <c r="K194" s="31" t="str">
        <f aca="false">IF(K134="","",IF(K134&lt;1,"",IF(K134&gt;D14,"",INDEX(I14:BP14,1,K134))))</f>
        <v/>
      </c>
      <c r="L194" s="31" t="str">
        <f aca="false">IF(L134="","",IF(L134&lt;1,"",IF(L134&gt;D14,"",INDEX(I14:BP14,1,L134))))</f>
        <v/>
      </c>
      <c r="M194" s="31" t="str">
        <f aca="false">IF(M134="","",IF(M134&lt;1,"",IF(M134&gt;D14,"",INDEX(I14:BP14,1,M134))))</f>
        <v/>
      </c>
      <c r="N194" s="31" t="str">
        <f aca="false">IF(N134="","",IF(N134&lt;1,"",IF(N134&gt;D14,"",INDEX(I14:BP14,1,N134))))</f>
        <v/>
      </c>
      <c r="O194" s="31" t="str">
        <f aca="false">IF(O134="","",IF(O134&lt;1,"",IF(O134&gt;D14,"",INDEX(I14:BP14,1,O134))))</f>
        <v/>
      </c>
      <c r="P194" s="31" t="str">
        <f aca="false">IF(P134="","",IF(P134&lt;1,"",IF(P134&gt;D14,"",INDEX(I14:BP14,1,P134))))</f>
        <v/>
      </c>
      <c r="Q194" s="31" t="str">
        <f aca="false">IF(Q134="","",IF(Q134&lt;1,"",IF(Q134&gt;D14,"",INDEX(I14:BP14,1,Q134))))</f>
        <v/>
      </c>
      <c r="R194" s="31" t="str">
        <f aca="false">IF(R134="","",IF(R134&lt;1,"",IF(R134&gt;D14,"",INDEX(I14:BP14,1,R134))))</f>
        <v/>
      </c>
      <c r="S194" s="31" t="str">
        <f aca="false">IF(S134="","",IF(S134&lt;1,"",IF(S134&gt;D14,"",INDEX(I14:BP14,1,S134))))</f>
        <v/>
      </c>
      <c r="T194" s="31" t="str">
        <f aca="false">IF(T134="","",IF(T134&lt;1,"",IF(T134&gt;D14,"",INDEX(I14:BP14,1,T134))))</f>
        <v/>
      </c>
    </row>
    <row r="195" customFormat="false" ht="15" hidden="false" customHeight="false" outlineLevel="0" collapsed="false">
      <c r="A195" s="29" t="str">
        <f aca="false">A15</f>
        <v/>
      </c>
      <c r="B195" s="29" t="str">
        <f aca="false">B15</f>
        <v/>
      </c>
      <c r="I195" s="31" t="str">
        <f aca="false">IF(I135="","",IF(I135&lt;1,"",IF(I135&gt;D15,"",INDEX(I15:BP15,1,I135))))</f>
        <v/>
      </c>
      <c r="J195" s="31" t="str">
        <f aca="false">IF(J135="","",IF(J135&lt;1,"",IF(J135&gt;D15,"",INDEX(I15:BP15,1,J135))))</f>
        <v/>
      </c>
      <c r="K195" s="31" t="str">
        <f aca="false">IF(K135="","",IF(K135&lt;1,"",IF(K135&gt;D15,"",INDEX(I15:BP15,1,K135))))</f>
        <v/>
      </c>
      <c r="L195" s="31" t="str">
        <f aca="false">IF(L135="","",IF(L135&lt;1,"",IF(L135&gt;D15,"",INDEX(I15:BP15,1,L135))))</f>
        <v/>
      </c>
      <c r="M195" s="31" t="str">
        <f aca="false">IF(M135="","",IF(M135&lt;1,"",IF(M135&gt;D15,"",INDEX(I15:BP15,1,M135))))</f>
        <v/>
      </c>
      <c r="N195" s="31" t="str">
        <f aca="false">IF(N135="","",IF(N135&lt;1,"",IF(N135&gt;D15,"",INDEX(I15:BP15,1,N135))))</f>
        <v/>
      </c>
      <c r="O195" s="31" t="str">
        <f aca="false">IF(O135="","",IF(O135&lt;1,"",IF(O135&gt;D15,"",INDEX(I15:BP15,1,O135))))</f>
        <v/>
      </c>
      <c r="P195" s="31" t="str">
        <f aca="false">IF(P135="","",IF(P135&lt;1,"",IF(P135&gt;D15,"",INDEX(I15:BP15,1,P135))))</f>
        <v/>
      </c>
      <c r="Q195" s="31" t="str">
        <f aca="false">IF(Q135="","",IF(Q135&lt;1,"",IF(Q135&gt;D15,"",INDEX(I15:BP15,1,Q135))))</f>
        <v/>
      </c>
      <c r="R195" s="31" t="str">
        <f aca="false">IF(R135="","",IF(R135&lt;1,"",IF(R135&gt;D15,"",INDEX(I15:BP15,1,R135))))</f>
        <v/>
      </c>
      <c r="S195" s="31" t="str">
        <f aca="false">IF(S135="","",IF(S135&lt;1,"",IF(S135&gt;D15,"",INDEX(I15:BP15,1,S135))))</f>
        <v/>
      </c>
      <c r="T195" s="31" t="str">
        <f aca="false">IF(T135="","",IF(T135&lt;1,"",IF(T135&gt;D15,"",INDEX(I15:BP15,1,T135))))</f>
        <v/>
      </c>
    </row>
    <row r="196" customFormat="false" ht="15" hidden="false" customHeight="false" outlineLevel="0" collapsed="false">
      <c r="A196" s="29" t="str">
        <f aca="false">A16</f>
        <v/>
      </c>
      <c r="B196" s="29" t="str">
        <f aca="false">B16</f>
        <v/>
      </c>
      <c r="I196" s="31" t="str">
        <f aca="false">IF(I136="","",IF(I136&lt;1,"",IF(I136&gt;D16,"",INDEX(I16:BP16,1,I136))))</f>
        <v/>
      </c>
      <c r="J196" s="31" t="str">
        <f aca="false">IF(J136="","",IF(J136&lt;1,"",IF(J136&gt;D16,"",INDEX(I16:BP16,1,J136))))</f>
        <v/>
      </c>
      <c r="K196" s="31" t="str">
        <f aca="false">IF(K136="","",IF(K136&lt;1,"",IF(K136&gt;D16,"",INDEX(I16:BP16,1,K136))))</f>
        <v/>
      </c>
      <c r="L196" s="31" t="str">
        <f aca="false">IF(L136="","",IF(L136&lt;1,"",IF(L136&gt;D16,"",INDEX(I16:BP16,1,L136))))</f>
        <v/>
      </c>
      <c r="M196" s="31" t="str">
        <f aca="false">IF(M136="","",IF(M136&lt;1,"",IF(M136&gt;D16,"",INDEX(I16:BP16,1,M136))))</f>
        <v/>
      </c>
      <c r="N196" s="31" t="str">
        <f aca="false">IF(N136="","",IF(N136&lt;1,"",IF(N136&gt;D16,"",INDEX(I16:BP16,1,N136))))</f>
        <v/>
      </c>
      <c r="O196" s="31" t="str">
        <f aca="false">IF(O136="","",IF(O136&lt;1,"",IF(O136&gt;D16,"",INDEX(I16:BP16,1,O136))))</f>
        <v/>
      </c>
      <c r="P196" s="31" t="str">
        <f aca="false">IF(P136="","",IF(P136&lt;1,"",IF(P136&gt;D16,"",INDEX(I16:BP16,1,P136))))</f>
        <v/>
      </c>
      <c r="Q196" s="31" t="str">
        <f aca="false">IF(Q136="","",IF(Q136&lt;1,"",IF(Q136&gt;D16,"",INDEX(I16:BP16,1,Q136))))</f>
        <v/>
      </c>
      <c r="R196" s="31" t="str">
        <f aca="false">IF(R136="","",IF(R136&lt;1,"",IF(R136&gt;D16,"",INDEX(I16:BP16,1,R136))))</f>
        <v/>
      </c>
      <c r="S196" s="31" t="str">
        <f aca="false">IF(S136="","",IF(S136&lt;1,"",IF(S136&gt;D16,"",INDEX(I16:BP16,1,S136))))</f>
        <v/>
      </c>
      <c r="T196" s="31" t="str">
        <f aca="false">IF(T136="","",IF(T136&lt;1,"",IF(T136&gt;D16,"",INDEX(I16:BP16,1,T136))))</f>
        <v/>
      </c>
    </row>
    <row r="197" customFormat="false" ht="15" hidden="false" customHeight="false" outlineLevel="0" collapsed="false">
      <c r="A197" s="29" t="str">
        <f aca="false">A17</f>
        <v/>
      </c>
      <c r="B197" s="29" t="str">
        <f aca="false">B17</f>
        <v/>
      </c>
      <c r="I197" s="31" t="str">
        <f aca="false">IF(I137="","",IF(I137&lt;1,"",IF(I137&gt;D17,"",INDEX(I17:BP17,1,I137))))</f>
        <v/>
      </c>
      <c r="J197" s="31" t="str">
        <f aca="false">IF(J137="","",IF(J137&lt;1,"",IF(J137&gt;D17,"",INDEX(I17:BP17,1,J137))))</f>
        <v/>
      </c>
      <c r="K197" s="31" t="str">
        <f aca="false">IF(K137="","",IF(K137&lt;1,"",IF(K137&gt;D17,"",INDEX(I17:BP17,1,K137))))</f>
        <v/>
      </c>
      <c r="L197" s="31" t="str">
        <f aca="false">IF(L137="","",IF(L137&lt;1,"",IF(L137&gt;D17,"",INDEX(I17:BP17,1,L137))))</f>
        <v/>
      </c>
      <c r="M197" s="31" t="str">
        <f aca="false">IF(M137="","",IF(M137&lt;1,"",IF(M137&gt;D17,"",INDEX(I17:BP17,1,M137))))</f>
        <v/>
      </c>
      <c r="N197" s="31" t="str">
        <f aca="false">IF(N137="","",IF(N137&lt;1,"",IF(N137&gt;D17,"",INDEX(I17:BP17,1,N137))))</f>
        <v/>
      </c>
      <c r="O197" s="31" t="str">
        <f aca="false">IF(O137="","",IF(O137&lt;1,"",IF(O137&gt;D17,"",INDEX(I17:BP17,1,O137))))</f>
        <v/>
      </c>
      <c r="P197" s="31" t="str">
        <f aca="false">IF(P137="","",IF(P137&lt;1,"",IF(P137&gt;D17,"",INDEX(I17:BP17,1,P137))))</f>
        <v/>
      </c>
      <c r="Q197" s="31" t="str">
        <f aca="false">IF(Q137="","",IF(Q137&lt;1,"",IF(Q137&gt;D17,"",INDEX(I17:BP17,1,Q137))))</f>
        <v/>
      </c>
      <c r="R197" s="31" t="str">
        <f aca="false">IF(R137="","",IF(R137&lt;1,"",IF(R137&gt;D17,"",INDEX(I17:BP17,1,R137))))</f>
        <v/>
      </c>
      <c r="S197" s="31" t="str">
        <f aca="false">IF(S137="","",IF(S137&lt;1,"",IF(S137&gt;D17,"",INDEX(I17:BP17,1,S137))))</f>
        <v/>
      </c>
      <c r="T197" s="31" t="str">
        <f aca="false">IF(T137="","",IF(T137&lt;1,"",IF(T137&gt;D17,"",INDEX(I17:BP17,1,T137))))</f>
        <v/>
      </c>
    </row>
    <row r="198" customFormat="false" ht="15" hidden="false" customHeight="false" outlineLevel="0" collapsed="false">
      <c r="A198" s="29" t="str">
        <f aca="false">A18</f>
        <v/>
      </c>
      <c r="B198" s="29" t="str">
        <f aca="false">B18</f>
        <v/>
      </c>
      <c r="I198" s="31" t="str">
        <f aca="false">IF(I138="","",IF(I138&lt;1,"",IF(I138&gt;D18,"",INDEX(I18:BP18,1,I138))))</f>
        <v/>
      </c>
      <c r="J198" s="31" t="str">
        <f aca="false">IF(J138="","",IF(J138&lt;1,"",IF(J138&gt;D18,"",INDEX(I18:BP18,1,J138))))</f>
        <v/>
      </c>
      <c r="K198" s="31" t="str">
        <f aca="false">IF(K138="","",IF(K138&lt;1,"",IF(K138&gt;D18,"",INDEX(I18:BP18,1,K138))))</f>
        <v/>
      </c>
      <c r="L198" s="31" t="str">
        <f aca="false">IF(L138="","",IF(L138&lt;1,"",IF(L138&gt;D18,"",INDEX(I18:BP18,1,L138))))</f>
        <v/>
      </c>
      <c r="M198" s="31" t="str">
        <f aca="false">IF(M138="","",IF(M138&lt;1,"",IF(M138&gt;D18,"",INDEX(I18:BP18,1,M138))))</f>
        <v/>
      </c>
      <c r="N198" s="31" t="str">
        <f aca="false">IF(N138="","",IF(N138&lt;1,"",IF(N138&gt;D18,"",INDEX(I18:BP18,1,N138))))</f>
        <v/>
      </c>
      <c r="O198" s="31" t="str">
        <f aca="false">IF(O138="","",IF(O138&lt;1,"",IF(O138&gt;D18,"",INDEX(I18:BP18,1,O138))))</f>
        <v/>
      </c>
      <c r="P198" s="31" t="str">
        <f aca="false">IF(P138="","",IF(P138&lt;1,"",IF(P138&gt;D18,"",INDEX(I18:BP18,1,P138))))</f>
        <v/>
      </c>
      <c r="Q198" s="31" t="str">
        <f aca="false">IF(Q138="","",IF(Q138&lt;1,"",IF(Q138&gt;D18,"",INDEX(I18:BP18,1,Q138))))</f>
        <v/>
      </c>
      <c r="R198" s="31" t="str">
        <f aca="false">IF(R138="","",IF(R138&lt;1,"",IF(R138&gt;D18,"",INDEX(I18:BP18,1,R138))))</f>
        <v/>
      </c>
      <c r="S198" s="31" t="str">
        <f aca="false">IF(S138="","",IF(S138&lt;1,"",IF(S138&gt;D18,"",INDEX(I18:BP18,1,S138))))</f>
        <v/>
      </c>
      <c r="T198" s="31" t="str">
        <f aca="false">IF(T138="","",IF(T138&lt;1,"",IF(T138&gt;D18,"",INDEX(I18:BP18,1,T138))))</f>
        <v/>
      </c>
    </row>
    <row r="199" customFormat="false" ht="15" hidden="false" customHeight="false" outlineLevel="0" collapsed="false">
      <c r="A199" s="29" t="str">
        <f aca="false">A19</f>
        <v/>
      </c>
      <c r="B199" s="29" t="str">
        <f aca="false">B19</f>
        <v/>
      </c>
      <c r="I199" s="31" t="str">
        <f aca="false">IF(I139="","",IF(I139&lt;1,"",IF(I139&gt;D19,"",INDEX(I19:BP19,1,I139))))</f>
        <v/>
      </c>
      <c r="J199" s="31" t="str">
        <f aca="false">IF(J139="","",IF(J139&lt;1,"",IF(J139&gt;D19,"",INDEX(I19:BP19,1,J139))))</f>
        <v/>
      </c>
      <c r="K199" s="31" t="str">
        <f aca="false">IF(K139="","",IF(K139&lt;1,"",IF(K139&gt;D19,"",INDEX(I19:BP19,1,K139))))</f>
        <v/>
      </c>
      <c r="L199" s="31" t="str">
        <f aca="false">IF(L139="","",IF(L139&lt;1,"",IF(L139&gt;D19,"",INDEX(I19:BP19,1,L139))))</f>
        <v/>
      </c>
      <c r="M199" s="31" t="str">
        <f aca="false">IF(M139="","",IF(M139&lt;1,"",IF(M139&gt;D19,"",INDEX(I19:BP19,1,M139))))</f>
        <v/>
      </c>
      <c r="N199" s="31" t="str">
        <f aca="false">IF(N139="","",IF(N139&lt;1,"",IF(N139&gt;D19,"",INDEX(I19:BP19,1,N139))))</f>
        <v/>
      </c>
      <c r="O199" s="31" t="str">
        <f aca="false">IF(O139="","",IF(O139&lt;1,"",IF(O139&gt;D19,"",INDEX(I19:BP19,1,O139))))</f>
        <v/>
      </c>
      <c r="P199" s="31" t="str">
        <f aca="false">IF(P139="","",IF(P139&lt;1,"",IF(P139&gt;D19,"",INDEX(I19:BP19,1,P139))))</f>
        <v/>
      </c>
      <c r="Q199" s="31" t="str">
        <f aca="false">IF(Q139="","",IF(Q139&lt;1,"",IF(Q139&gt;D19,"",INDEX(I19:BP19,1,Q139))))</f>
        <v/>
      </c>
      <c r="R199" s="31" t="str">
        <f aca="false">IF(R139="","",IF(R139&lt;1,"",IF(R139&gt;D19,"",INDEX(I19:BP19,1,R139))))</f>
        <v/>
      </c>
      <c r="S199" s="31" t="str">
        <f aca="false">IF(S139="","",IF(S139&lt;1,"",IF(S139&gt;D19,"",INDEX(I19:BP19,1,S139))))</f>
        <v/>
      </c>
      <c r="T199" s="31" t="str">
        <f aca="false">IF(T139="","",IF(T139&lt;1,"",IF(T139&gt;D19,"",INDEX(I19:BP19,1,T139))))</f>
        <v/>
      </c>
    </row>
    <row r="200" customFormat="false" ht="15" hidden="false" customHeight="false" outlineLevel="0" collapsed="false">
      <c r="A200" s="29" t="str">
        <f aca="false">A20</f>
        <v/>
      </c>
      <c r="B200" s="29" t="str">
        <f aca="false">B20</f>
        <v/>
      </c>
      <c r="I200" s="31" t="str">
        <f aca="false">IF(I140="","",IF(I140&lt;1,"",IF(I140&gt;D20,"",INDEX(I20:BP20,1,I140))))</f>
        <v/>
      </c>
      <c r="J200" s="31" t="str">
        <f aca="false">IF(J140="","",IF(J140&lt;1,"",IF(J140&gt;D20,"",INDEX(I20:BP20,1,J140))))</f>
        <v/>
      </c>
      <c r="K200" s="31" t="str">
        <f aca="false">IF(K140="","",IF(K140&lt;1,"",IF(K140&gt;D20,"",INDEX(I20:BP20,1,K140))))</f>
        <v/>
      </c>
      <c r="L200" s="31" t="str">
        <f aca="false">IF(L140="","",IF(L140&lt;1,"",IF(L140&gt;D20,"",INDEX(I20:BP20,1,L140))))</f>
        <v/>
      </c>
      <c r="M200" s="31" t="str">
        <f aca="false">IF(M140="","",IF(M140&lt;1,"",IF(M140&gt;D20,"",INDEX(I20:BP20,1,M140))))</f>
        <v/>
      </c>
      <c r="N200" s="31" t="str">
        <f aca="false">IF(N140="","",IF(N140&lt;1,"",IF(N140&gt;D20,"",INDEX(I20:BP20,1,N140))))</f>
        <v/>
      </c>
      <c r="O200" s="31" t="str">
        <f aca="false">IF(O140="","",IF(O140&lt;1,"",IF(O140&gt;D20,"",INDEX(I20:BP20,1,O140))))</f>
        <v/>
      </c>
      <c r="P200" s="31" t="str">
        <f aca="false">IF(P140="","",IF(P140&lt;1,"",IF(P140&gt;D20,"",INDEX(I20:BP20,1,P140))))</f>
        <v/>
      </c>
      <c r="Q200" s="31" t="str">
        <f aca="false">IF(Q140="","",IF(Q140&lt;1,"",IF(Q140&gt;D20,"",INDEX(I20:BP20,1,Q140))))</f>
        <v/>
      </c>
      <c r="R200" s="31" t="str">
        <f aca="false">IF(R140="","",IF(R140&lt;1,"",IF(R140&gt;D20,"",INDEX(I20:BP20,1,R140))))</f>
        <v/>
      </c>
      <c r="S200" s="31" t="str">
        <f aca="false">IF(S140="","",IF(S140&lt;1,"",IF(S140&gt;D20,"",INDEX(I20:BP20,1,S140))))</f>
        <v/>
      </c>
      <c r="T200" s="31" t="str">
        <f aca="false">IF(T140="","",IF(T140&lt;1,"",IF(T140&gt;D20,"",INDEX(I20:BP20,1,T140))))</f>
        <v/>
      </c>
    </row>
    <row r="201" customFormat="false" ht="15" hidden="false" customHeight="false" outlineLevel="0" collapsed="false">
      <c r="A201" s="29" t="str">
        <f aca="false">A21</f>
        <v/>
      </c>
      <c r="B201" s="29" t="str">
        <f aca="false">B21</f>
        <v/>
      </c>
      <c r="I201" s="31" t="str">
        <f aca="false">IF(I141="","",IF(I141&lt;1,"",IF(I141&gt;D21,"",INDEX(I21:BP21,1,I141))))</f>
        <v/>
      </c>
      <c r="J201" s="31" t="str">
        <f aca="false">IF(J141="","",IF(J141&lt;1,"",IF(J141&gt;D21,"",INDEX(I21:BP21,1,J141))))</f>
        <v/>
      </c>
      <c r="K201" s="31" t="str">
        <f aca="false">IF(K141="","",IF(K141&lt;1,"",IF(K141&gt;D21,"",INDEX(I21:BP21,1,K141))))</f>
        <v/>
      </c>
      <c r="L201" s="31" t="str">
        <f aca="false">IF(L141="","",IF(L141&lt;1,"",IF(L141&gt;D21,"",INDEX(I21:BP21,1,L141))))</f>
        <v/>
      </c>
      <c r="M201" s="31" t="str">
        <f aca="false">IF(M141="","",IF(M141&lt;1,"",IF(M141&gt;D21,"",INDEX(I21:BP21,1,M141))))</f>
        <v/>
      </c>
      <c r="N201" s="31" t="str">
        <f aca="false">IF(N141="","",IF(N141&lt;1,"",IF(N141&gt;D21,"",INDEX(I21:BP21,1,N141))))</f>
        <v/>
      </c>
      <c r="O201" s="31" t="str">
        <f aca="false">IF(O141="","",IF(O141&lt;1,"",IF(O141&gt;D21,"",INDEX(I21:BP21,1,O141))))</f>
        <v/>
      </c>
      <c r="P201" s="31" t="str">
        <f aca="false">IF(P141="","",IF(P141&lt;1,"",IF(P141&gt;D21,"",INDEX(I21:BP21,1,P141))))</f>
        <v/>
      </c>
      <c r="Q201" s="31" t="str">
        <f aca="false">IF(Q141="","",IF(Q141&lt;1,"",IF(Q141&gt;D21,"",INDEX(I21:BP21,1,Q141))))</f>
        <v/>
      </c>
      <c r="R201" s="31" t="str">
        <f aca="false">IF(R141="","",IF(R141&lt;1,"",IF(R141&gt;D21,"",INDEX(I21:BP21,1,R141))))</f>
        <v/>
      </c>
      <c r="S201" s="31" t="str">
        <f aca="false">IF(S141="","",IF(S141&lt;1,"",IF(S141&gt;D21,"",INDEX(I21:BP21,1,S141))))</f>
        <v/>
      </c>
      <c r="T201" s="31" t="str">
        <f aca="false">IF(T141="","",IF(T141&lt;1,"",IF(T141&gt;D21,"",INDEX(I21:BP21,1,T141))))</f>
        <v/>
      </c>
    </row>
    <row r="202" customFormat="false" ht="15" hidden="false" customHeight="false" outlineLevel="0" collapsed="false">
      <c r="A202" s="29" t="str">
        <f aca="false">A22</f>
        <v/>
      </c>
      <c r="B202" s="29" t="str">
        <f aca="false">B22</f>
        <v/>
      </c>
      <c r="I202" s="31" t="str">
        <f aca="false">IF(I142="","",IF(I142&lt;1,"",IF(I142&gt;D22,"",INDEX(I22:BP22,1,I142))))</f>
        <v/>
      </c>
      <c r="J202" s="31" t="str">
        <f aca="false">IF(J142="","",IF(J142&lt;1,"",IF(J142&gt;D22,"",INDEX(I22:BP22,1,J142))))</f>
        <v/>
      </c>
      <c r="K202" s="31" t="str">
        <f aca="false">IF(K142="","",IF(K142&lt;1,"",IF(K142&gt;D22,"",INDEX(I22:BP22,1,K142))))</f>
        <v/>
      </c>
      <c r="L202" s="31" t="str">
        <f aca="false">IF(L142="","",IF(L142&lt;1,"",IF(L142&gt;D22,"",INDEX(I22:BP22,1,L142))))</f>
        <v/>
      </c>
      <c r="M202" s="31" t="str">
        <f aca="false">IF(M142="","",IF(M142&lt;1,"",IF(M142&gt;D22,"",INDEX(I22:BP22,1,M142))))</f>
        <v/>
      </c>
      <c r="N202" s="31" t="str">
        <f aca="false">IF(N142="","",IF(N142&lt;1,"",IF(N142&gt;D22,"",INDEX(I22:BP22,1,N142))))</f>
        <v/>
      </c>
      <c r="O202" s="31" t="str">
        <f aca="false">IF(O142="","",IF(O142&lt;1,"",IF(O142&gt;D22,"",INDEX(I22:BP22,1,O142))))</f>
        <v/>
      </c>
      <c r="P202" s="31" t="str">
        <f aca="false">IF(P142="","",IF(P142&lt;1,"",IF(P142&gt;D22,"",INDEX(I22:BP22,1,P142))))</f>
        <v/>
      </c>
      <c r="Q202" s="31" t="str">
        <f aca="false">IF(Q142="","",IF(Q142&lt;1,"",IF(Q142&gt;D22,"",INDEX(I22:BP22,1,Q142))))</f>
        <v/>
      </c>
      <c r="R202" s="31" t="str">
        <f aca="false">IF(R142="","",IF(R142&lt;1,"",IF(R142&gt;D22,"",INDEX(I22:BP22,1,R142))))</f>
        <v/>
      </c>
      <c r="S202" s="31" t="str">
        <f aca="false">IF(S142="","",IF(S142&lt;1,"",IF(S142&gt;D22,"",INDEX(I22:BP22,1,S142))))</f>
        <v/>
      </c>
      <c r="T202" s="31" t="str">
        <f aca="false">IF(T142="","",IF(T142&lt;1,"",IF(T142&gt;D22,"",INDEX(I22:BP22,1,T142))))</f>
        <v/>
      </c>
    </row>
    <row r="203" customFormat="false" ht="15" hidden="false" customHeight="false" outlineLevel="0" collapsed="false">
      <c r="A203" s="29" t="str">
        <f aca="false">A23</f>
        <v/>
      </c>
      <c r="B203" s="29" t="str">
        <f aca="false">B23</f>
        <v/>
      </c>
      <c r="I203" s="31" t="str">
        <f aca="false">IF(I143="","",IF(I143&lt;1,"",IF(I143&gt;D23,"",INDEX(I23:BP23,1,I143))))</f>
        <v/>
      </c>
      <c r="J203" s="31" t="str">
        <f aca="false">IF(J143="","",IF(J143&lt;1,"",IF(J143&gt;D23,"",INDEX(I23:BP23,1,J143))))</f>
        <v/>
      </c>
      <c r="K203" s="31" t="str">
        <f aca="false">IF(K143="","",IF(K143&lt;1,"",IF(K143&gt;D23,"",INDEX(I23:BP23,1,K143))))</f>
        <v/>
      </c>
      <c r="L203" s="31" t="str">
        <f aca="false">IF(L143="","",IF(L143&lt;1,"",IF(L143&gt;D23,"",INDEX(I23:BP23,1,L143))))</f>
        <v/>
      </c>
      <c r="M203" s="31" t="str">
        <f aca="false">IF(M143="","",IF(M143&lt;1,"",IF(M143&gt;D23,"",INDEX(I23:BP23,1,M143))))</f>
        <v/>
      </c>
      <c r="N203" s="31" t="str">
        <f aca="false">IF(N143="","",IF(N143&lt;1,"",IF(N143&gt;D23,"",INDEX(I23:BP23,1,N143))))</f>
        <v/>
      </c>
      <c r="O203" s="31" t="str">
        <f aca="false">IF(O143="","",IF(O143&lt;1,"",IF(O143&gt;D23,"",INDEX(I23:BP23,1,O143))))</f>
        <v/>
      </c>
      <c r="P203" s="31" t="str">
        <f aca="false">IF(P143="","",IF(P143&lt;1,"",IF(P143&gt;D23,"",INDEX(I23:BP23,1,P143))))</f>
        <v/>
      </c>
      <c r="Q203" s="31" t="str">
        <f aca="false">IF(Q143="","",IF(Q143&lt;1,"",IF(Q143&gt;D23,"",INDEX(I23:BP23,1,Q143))))</f>
        <v/>
      </c>
      <c r="R203" s="31" t="str">
        <f aca="false">IF(R143="","",IF(R143&lt;1,"",IF(R143&gt;D23,"",INDEX(I23:BP23,1,R143))))</f>
        <v/>
      </c>
      <c r="S203" s="31" t="str">
        <f aca="false">IF(S143="","",IF(S143&lt;1,"",IF(S143&gt;D23,"",INDEX(I23:BP23,1,S143))))</f>
        <v/>
      </c>
      <c r="T203" s="31" t="str">
        <f aca="false">IF(T143="","",IF(T143&lt;1,"",IF(T143&gt;D23,"",INDEX(I23:BP23,1,T143))))</f>
        <v/>
      </c>
    </row>
    <row r="204" customFormat="false" ht="15" hidden="false" customHeight="false" outlineLevel="0" collapsed="false">
      <c r="A204" s="29" t="str">
        <f aca="false">A24</f>
        <v/>
      </c>
      <c r="B204" s="29" t="str">
        <f aca="false">B24</f>
        <v/>
      </c>
      <c r="I204" s="31" t="str">
        <f aca="false">IF(I144="","",IF(I144&lt;1,"",IF(I144&gt;D24,"",INDEX(I24:BP24,1,I144))))</f>
        <v/>
      </c>
      <c r="J204" s="31" t="str">
        <f aca="false">IF(J144="","",IF(J144&lt;1,"",IF(J144&gt;D24,"",INDEX(I24:BP24,1,J144))))</f>
        <v/>
      </c>
      <c r="K204" s="31" t="str">
        <f aca="false">IF(K144="","",IF(K144&lt;1,"",IF(K144&gt;D24,"",INDEX(I24:BP24,1,K144))))</f>
        <v/>
      </c>
      <c r="L204" s="31" t="str">
        <f aca="false">IF(L144="","",IF(L144&lt;1,"",IF(L144&gt;D24,"",INDEX(I24:BP24,1,L144))))</f>
        <v/>
      </c>
      <c r="M204" s="31" t="str">
        <f aca="false">IF(M144="","",IF(M144&lt;1,"",IF(M144&gt;D24,"",INDEX(I24:BP24,1,M144))))</f>
        <v/>
      </c>
      <c r="N204" s="31" t="str">
        <f aca="false">IF(N144="","",IF(N144&lt;1,"",IF(N144&gt;D24,"",INDEX(I24:BP24,1,N144))))</f>
        <v/>
      </c>
      <c r="O204" s="31" t="str">
        <f aca="false">IF(O144="","",IF(O144&lt;1,"",IF(O144&gt;D24,"",INDEX(I24:BP24,1,O144))))</f>
        <v/>
      </c>
      <c r="P204" s="31" t="str">
        <f aca="false">IF(P144="","",IF(P144&lt;1,"",IF(P144&gt;D24,"",INDEX(I24:BP24,1,P144))))</f>
        <v/>
      </c>
      <c r="Q204" s="31" t="str">
        <f aca="false">IF(Q144="","",IF(Q144&lt;1,"",IF(Q144&gt;D24,"",INDEX(I24:BP24,1,Q144))))</f>
        <v/>
      </c>
      <c r="R204" s="31" t="str">
        <f aca="false">IF(R144="","",IF(R144&lt;1,"",IF(R144&gt;D24,"",INDEX(I24:BP24,1,R144))))</f>
        <v/>
      </c>
      <c r="S204" s="31" t="str">
        <f aca="false">IF(S144="","",IF(S144&lt;1,"",IF(S144&gt;D24,"",INDEX(I24:BP24,1,S144))))</f>
        <v/>
      </c>
      <c r="T204" s="31" t="str">
        <f aca="false">IF(T144="","",IF(T144&lt;1,"",IF(T144&gt;D24,"",INDEX(I24:BP24,1,T144))))</f>
        <v/>
      </c>
    </row>
    <row r="205" customFormat="false" ht="15" hidden="false" customHeight="false" outlineLevel="0" collapsed="false">
      <c r="A205" s="29" t="str">
        <f aca="false">A25</f>
        <v/>
      </c>
      <c r="B205" s="29" t="str">
        <f aca="false">B25</f>
        <v/>
      </c>
      <c r="I205" s="31" t="str">
        <f aca="false">IF(I145="","",IF(I145&lt;1,"",IF(I145&gt;D25,"",INDEX(I25:BP25,1,I145))))</f>
        <v/>
      </c>
      <c r="J205" s="31" t="str">
        <f aca="false">IF(J145="","",IF(J145&lt;1,"",IF(J145&gt;D25,"",INDEX(I25:BP25,1,J145))))</f>
        <v/>
      </c>
      <c r="K205" s="31" t="str">
        <f aca="false">IF(K145="","",IF(K145&lt;1,"",IF(K145&gt;D25,"",INDEX(I25:BP25,1,K145))))</f>
        <v/>
      </c>
      <c r="L205" s="31" t="str">
        <f aca="false">IF(L145="","",IF(L145&lt;1,"",IF(L145&gt;D25,"",INDEX(I25:BP25,1,L145))))</f>
        <v/>
      </c>
      <c r="M205" s="31" t="str">
        <f aca="false">IF(M145="","",IF(M145&lt;1,"",IF(M145&gt;D25,"",INDEX(I25:BP25,1,M145))))</f>
        <v/>
      </c>
      <c r="N205" s="31" t="str">
        <f aca="false">IF(N145="","",IF(N145&lt;1,"",IF(N145&gt;D25,"",INDEX(I25:BP25,1,N145))))</f>
        <v/>
      </c>
      <c r="O205" s="31" t="str">
        <f aca="false">IF(O145="","",IF(O145&lt;1,"",IF(O145&gt;D25,"",INDEX(I25:BP25,1,O145))))</f>
        <v/>
      </c>
      <c r="P205" s="31" t="str">
        <f aca="false">IF(P145="","",IF(P145&lt;1,"",IF(P145&gt;D25,"",INDEX(I25:BP25,1,P145))))</f>
        <v/>
      </c>
      <c r="Q205" s="31" t="str">
        <f aca="false">IF(Q145="","",IF(Q145&lt;1,"",IF(Q145&gt;D25,"",INDEX(I25:BP25,1,Q145))))</f>
        <v/>
      </c>
      <c r="R205" s="31" t="str">
        <f aca="false">IF(R145="","",IF(R145&lt;1,"",IF(R145&gt;D25,"",INDEX(I25:BP25,1,R145))))</f>
        <v/>
      </c>
      <c r="S205" s="31" t="str">
        <f aca="false">IF(S145="","",IF(S145&lt;1,"",IF(S145&gt;D25,"",INDEX(I25:BP25,1,S145))))</f>
        <v/>
      </c>
      <c r="T205" s="31" t="str">
        <f aca="false">IF(T145="","",IF(T145&lt;1,"",IF(T145&gt;D25,"",INDEX(I25:BP25,1,T145))))</f>
        <v/>
      </c>
    </row>
    <row r="206" customFormat="false" ht="15" hidden="false" customHeight="false" outlineLevel="0" collapsed="false">
      <c r="A206" s="29" t="str">
        <f aca="false">A26</f>
        <v/>
      </c>
      <c r="B206" s="29" t="str">
        <f aca="false">B26</f>
        <v/>
      </c>
      <c r="I206" s="31" t="str">
        <f aca="false">IF(I146="","",IF(I146&lt;1,"",IF(I146&gt;D26,"",INDEX(I26:BP26,1,I146))))</f>
        <v/>
      </c>
      <c r="J206" s="31" t="str">
        <f aca="false">IF(J146="","",IF(J146&lt;1,"",IF(J146&gt;D26,"",INDEX(I26:BP26,1,J146))))</f>
        <v/>
      </c>
      <c r="K206" s="31" t="str">
        <f aca="false">IF(K146="","",IF(K146&lt;1,"",IF(K146&gt;D26,"",INDEX(I26:BP26,1,K146))))</f>
        <v/>
      </c>
      <c r="L206" s="31" t="str">
        <f aca="false">IF(L146="","",IF(L146&lt;1,"",IF(L146&gt;D26,"",INDEX(I26:BP26,1,L146))))</f>
        <v/>
      </c>
      <c r="M206" s="31" t="str">
        <f aca="false">IF(M146="","",IF(M146&lt;1,"",IF(M146&gt;D26,"",INDEX(I26:BP26,1,M146))))</f>
        <v/>
      </c>
      <c r="N206" s="31" t="str">
        <f aca="false">IF(N146="","",IF(N146&lt;1,"",IF(N146&gt;D26,"",INDEX(I26:BP26,1,N146))))</f>
        <v/>
      </c>
      <c r="O206" s="31" t="str">
        <f aca="false">IF(O146="","",IF(O146&lt;1,"",IF(O146&gt;D26,"",INDEX(I26:BP26,1,O146))))</f>
        <v/>
      </c>
      <c r="P206" s="31" t="str">
        <f aca="false">IF(P146="","",IF(P146&lt;1,"",IF(P146&gt;D26,"",INDEX(I26:BP26,1,P146))))</f>
        <v/>
      </c>
      <c r="Q206" s="31" t="str">
        <f aca="false">IF(Q146="","",IF(Q146&lt;1,"",IF(Q146&gt;D26,"",INDEX(I26:BP26,1,Q146))))</f>
        <v/>
      </c>
      <c r="R206" s="31" t="str">
        <f aca="false">IF(R146="","",IF(R146&lt;1,"",IF(R146&gt;D26,"",INDEX(I26:BP26,1,R146))))</f>
        <v/>
      </c>
      <c r="S206" s="31" t="str">
        <f aca="false">IF(S146="","",IF(S146&lt;1,"",IF(S146&gt;D26,"",INDEX(I26:BP26,1,S146))))</f>
        <v/>
      </c>
      <c r="T206" s="31" t="str">
        <f aca="false">IF(T146="","",IF(T146&lt;1,"",IF(T146&gt;D26,"",INDEX(I26:BP26,1,T146))))</f>
        <v/>
      </c>
    </row>
    <row r="207" customFormat="false" ht="15" hidden="false" customHeight="false" outlineLevel="0" collapsed="false">
      <c r="A207" s="29" t="str">
        <f aca="false">A27</f>
        <v/>
      </c>
      <c r="B207" s="29" t="str">
        <f aca="false">B27</f>
        <v/>
      </c>
      <c r="I207" s="31" t="str">
        <f aca="false">IF(I147="","",IF(I147&lt;1,"",IF(I147&gt;D27,"",INDEX(I27:BP27,1,I147))))</f>
        <v/>
      </c>
      <c r="J207" s="31" t="str">
        <f aca="false">IF(J147="","",IF(J147&lt;1,"",IF(J147&gt;D27,"",INDEX(I27:BP27,1,J147))))</f>
        <v/>
      </c>
      <c r="K207" s="31" t="str">
        <f aca="false">IF(K147="","",IF(K147&lt;1,"",IF(K147&gt;D27,"",INDEX(I27:BP27,1,K147))))</f>
        <v/>
      </c>
      <c r="L207" s="31" t="str">
        <f aca="false">IF(L147="","",IF(L147&lt;1,"",IF(L147&gt;D27,"",INDEX(I27:BP27,1,L147))))</f>
        <v/>
      </c>
      <c r="M207" s="31" t="str">
        <f aca="false">IF(M147="","",IF(M147&lt;1,"",IF(M147&gt;D27,"",INDEX(I27:BP27,1,M147))))</f>
        <v/>
      </c>
      <c r="N207" s="31" t="str">
        <f aca="false">IF(N147="","",IF(N147&lt;1,"",IF(N147&gt;D27,"",INDEX(I27:BP27,1,N147))))</f>
        <v/>
      </c>
      <c r="O207" s="31" t="str">
        <f aca="false">IF(O147="","",IF(O147&lt;1,"",IF(O147&gt;D27,"",INDEX(I27:BP27,1,O147))))</f>
        <v/>
      </c>
      <c r="P207" s="31" t="str">
        <f aca="false">IF(P147="","",IF(P147&lt;1,"",IF(P147&gt;D27,"",INDEX(I27:BP27,1,P147))))</f>
        <v/>
      </c>
      <c r="Q207" s="31" t="str">
        <f aca="false">IF(Q147="","",IF(Q147&lt;1,"",IF(Q147&gt;D27,"",INDEX(I27:BP27,1,Q147))))</f>
        <v/>
      </c>
      <c r="R207" s="31" t="str">
        <f aca="false">IF(R147="","",IF(R147&lt;1,"",IF(R147&gt;D27,"",INDEX(I27:BP27,1,R147))))</f>
        <v/>
      </c>
      <c r="S207" s="31" t="str">
        <f aca="false">IF(S147="","",IF(S147&lt;1,"",IF(S147&gt;D27,"",INDEX(I27:BP27,1,S147))))</f>
        <v/>
      </c>
      <c r="T207" s="31" t="str">
        <f aca="false">IF(T147="","",IF(T147&lt;1,"",IF(T147&gt;D27,"",INDEX(I27:BP27,1,T147))))</f>
        <v/>
      </c>
    </row>
    <row r="208" customFormat="false" ht="15" hidden="false" customHeight="false" outlineLevel="0" collapsed="false">
      <c r="A208" s="29" t="str">
        <f aca="false">A28</f>
        <v/>
      </c>
      <c r="B208" s="29" t="str">
        <f aca="false">B28</f>
        <v/>
      </c>
      <c r="I208" s="31" t="str">
        <f aca="false">IF(I148="","",IF(I148&lt;1,"",IF(I148&gt;D28,"",INDEX(I28:BP28,1,I148))))</f>
        <v/>
      </c>
      <c r="J208" s="31" t="str">
        <f aca="false">IF(J148="","",IF(J148&lt;1,"",IF(J148&gt;D28,"",INDEX(I28:BP28,1,J148))))</f>
        <v/>
      </c>
      <c r="K208" s="31" t="str">
        <f aca="false">IF(K148="","",IF(K148&lt;1,"",IF(K148&gt;D28,"",INDEX(I28:BP28,1,K148))))</f>
        <v/>
      </c>
      <c r="L208" s="31" t="str">
        <f aca="false">IF(L148="","",IF(L148&lt;1,"",IF(L148&gt;D28,"",INDEX(I28:BP28,1,L148))))</f>
        <v/>
      </c>
      <c r="M208" s="31" t="str">
        <f aca="false">IF(M148="","",IF(M148&lt;1,"",IF(M148&gt;D28,"",INDEX(I28:BP28,1,M148))))</f>
        <v/>
      </c>
      <c r="N208" s="31" t="str">
        <f aca="false">IF(N148="","",IF(N148&lt;1,"",IF(N148&gt;D28,"",INDEX(I28:BP28,1,N148))))</f>
        <v/>
      </c>
      <c r="O208" s="31" t="str">
        <f aca="false">IF(O148="","",IF(O148&lt;1,"",IF(O148&gt;D28,"",INDEX(I28:BP28,1,O148))))</f>
        <v/>
      </c>
      <c r="P208" s="31" t="str">
        <f aca="false">IF(P148="","",IF(P148&lt;1,"",IF(P148&gt;D28,"",INDEX(I28:BP28,1,P148))))</f>
        <v/>
      </c>
      <c r="Q208" s="31" t="str">
        <f aca="false">IF(Q148="","",IF(Q148&lt;1,"",IF(Q148&gt;D28,"",INDEX(I28:BP28,1,Q148))))</f>
        <v/>
      </c>
      <c r="R208" s="31" t="str">
        <f aca="false">IF(R148="","",IF(R148&lt;1,"",IF(R148&gt;D28,"",INDEX(I28:BP28,1,R148))))</f>
        <v/>
      </c>
      <c r="S208" s="31" t="str">
        <f aca="false">IF(S148="","",IF(S148&lt;1,"",IF(S148&gt;D28,"",INDEX(I28:BP28,1,S148))))</f>
        <v/>
      </c>
      <c r="T208" s="31" t="str">
        <f aca="false">IF(T148="","",IF(T148&lt;1,"",IF(T148&gt;D28,"",INDEX(I28:BP28,1,T148))))</f>
        <v/>
      </c>
    </row>
    <row r="209" customFormat="false" ht="15" hidden="false" customHeight="false" outlineLevel="0" collapsed="false">
      <c r="A209" s="29" t="str">
        <f aca="false">A29</f>
        <v/>
      </c>
      <c r="B209" s="29" t="str">
        <f aca="false">B29</f>
        <v/>
      </c>
      <c r="I209" s="31" t="str">
        <f aca="false">IF(I149="","",IF(I149&lt;1,"",IF(I149&gt;D29,"",INDEX(I29:BP29,1,I149))))</f>
        <v/>
      </c>
      <c r="J209" s="31" t="str">
        <f aca="false">IF(J149="","",IF(J149&lt;1,"",IF(J149&gt;D29,"",INDEX(I29:BP29,1,J149))))</f>
        <v/>
      </c>
      <c r="K209" s="31" t="str">
        <f aca="false">IF(K149="","",IF(K149&lt;1,"",IF(K149&gt;D29,"",INDEX(I29:BP29,1,K149))))</f>
        <v/>
      </c>
      <c r="L209" s="31" t="str">
        <f aca="false">IF(L149="","",IF(L149&lt;1,"",IF(L149&gt;D29,"",INDEX(I29:BP29,1,L149))))</f>
        <v/>
      </c>
      <c r="M209" s="31" t="str">
        <f aca="false">IF(M149="","",IF(M149&lt;1,"",IF(M149&gt;D29,"",INDEX(I29:BP29,1,M149))))</f>
        <v/>
      </c>
      <c r="N209" s="31" t="str">
        <f aca="false">IF(N149="","",IF(N149&lt;1,"",IF(N149&gt;D29,"",INDEX(I29:BP29,1,N149))))</f>
        <v/>
      </c>
      <c r="O209" s="31" t="str">
        <f aca="false">IF(O149="","",IF(O149&lt;1,"",IF(O149&gt;D29,"",INDEX(I29:BP29,1,O149))))</f>
        <v/>
      </c>
      <c r="P209" s="31" t="str">
        <f aca="false">IF(P149="","",IF(P149&lt;1,"",IF(P149&gt;D29,"",INDEX(I29:BP29,1,P149))))</f>
        <v/>
      </c>
      <c r="Q209" s="31" t="str">
        <f aca="false">IF(Q149="","",IF(Q149&lt;1,"",IF(Q149&gt;D29,"",INDEX(I29:BP29,1,Q149))))</f>
        <v/>
      </c>
      <c r="R209" s="31" t="str">
        <f aca="false">IF(R149="","",IF(R149&lt;1,"",IF(R149&gt;D29,"",INDEX(I29:BP29,1,R149))))</f>
        <v/>
      </c>
      <c r="S209" s="31" t="str">
        <f aca="false">IF(S149="","",IF(S149&lt;1,"",IF(S149&gt;D29,"",INDEX(I29:BP29,1,S149))))</f>
        <v/>
      </c>
      <c r="T209" s="31" t="str">
        <f aca="false">IF(T149="","",IF(T149&lt;1,"",IF(T149&gt;D29,"",INDEX(I29:BP29,1,T149))))</f>
        <v/>
      </c>
    </row>
    <row r="210" customFormat="false" ht="15" hidden="false" customHeight="false" outlineLevel="0" collapsed="false">
      <c r="A210" s="29" t="str">
        <f aca="false">A30</f>
        <v/>
      </c>
      <c r="B210" s="29" t="str">
        <f aca="false">B30</f>
        <v/>
      </c>
      <c r="I210" s="31" t="str">
        <f aca="false">IF(I150="","",IF(I150&lt;1,"",IF(I150&gt;D30,"",INDEX(I30:BP30,1,I150))))</f>
        <v/>
      </c>
      <c r="J210" s="31" t="str">
        <f aca="false">IF(J150="","",IF(J150&lt;1,"",IF(J150&gt;D30,"",INDEX(I30:BP30,1,J150))))</f>
        <v/>
      </c>
      <c r="K210" s="31" t="str">
        <f aca="false">IF(K150="","",IF(K150&lt;1,"",IF(K150&gt;D30,"",INDEX(I30:BP30,1,K150))))</f>
        <v/>
      </c>
      <c r="L210" s="31" t="str">
        <f aca="false">IF(L150="","",IF(L150&lt;1,"",IF(L150&gt;D30,"",INDEX(I30:BP30,1,L150))))</f>
        <v/>
      </c>
      <c r="M210" s="31" t="str">
        <f aca="false">IF(M150="","",IF(M150&lt;1,"",IF(M150&gt;D30,"",INDEX(I30:BP30,1,M150))))</f>
        <v/>
      </c>
      <c r="N210" s="31" t="str">
        <f aca="false">IF(N150="","",IF(N150&lt;1,"",IF(N150&gt;D30,"",INDEX(I30:BP30,1,N150))))</f>
        <v/>
      </c>
      <c r="O210" s="31" t="str">
        <f aca="false">IF(O150="","",IF(O150&lt;1,"",IF(O150&gt;D30,"",INDEX(I30:BP30,1,O150))))</f>
        <v/>
      </c>
      <c r="P210" s="31" t="str">
        <f aca="false">IF(P150="","",IF(P150&lt;1,"",IF(P150&gt;D30,"",INDEX(I30:BP30,1,P150))))</f>
        <v/>
      </c>
      <c r="Q210" s="31" t="str">
        <f aca="false">IF(Q150="","",IF(Q150&lt;1,"",IF(Q150&gt;D30,"",INDEX(I30:BP30,1,Q150))))</f>
        <v/>
      </c>
      <c r="R210" s="31" t="str">
        <f aca="false">IF(R150="","",IF(R150&lt;1,"",IF(R150&gt;D30,"",INDEX(I30:BP30,1,R150))))</f>
        <v/>
      </c>
      <c r="S210" s="31" t="str">
        <f aca="false">IF(S150="","",IF(S150&lt;1,"",IF(S150&gt;D30,"",INDEX(I30:BP30,1,S150))))</f>
        <v/>
      </c>
      <c r="T210" s="31" t="str">
        <f aca="false">IF(T150="","",IF(T150&lt;1,"",IF(T150&gt;D30,"",INDEX(I30:BP30,1,T150))))</f>
        <v/>
      </c>
    </row>
    <row r="211" customFormat="false" ht="15" hidden="false" customHeight="false" outlineLevel="0" collapsed="false">
      <c r="A211" s="29" t="str">
        <f aca="false">A31</f>
        <v/>
      </c>
      <c r="B211" s="29" t="str">
        <f aca="false">B31</f>
        <v/>
      </c>
      <c r="I211" s="31" t="str">
        <f aca="false">IF(I151="","",IF(I151&lt;1,"",IF(I151&gt;D31,"",INDEX(I31:BP31,1,I151))))</f>
        <v/>
      </c>
      <c r="J211" s="31" t="str">
        <f aca="false">IF(J151="","",IF(J151&lt;1,"",IF(J151&gt;D31,"",INDEX(I31:BP31,1,J151))))</f>
        <v/>
      </c>
      <c r="K211" s="31" t="str">
        <f aca="false">IF(K151="","",IF(K151&lt;1,"",IF(K151&gt;D31,"",INDEX(I31:BP31,1,K151))))</f>
        <v/>
      </c>
      <c r="L211" s="31" t="str">
        <f aca="false">IF(L151="","",IF(L151&lt;1,"",IF(L151&gt;D31,"",INDEX(I31:BP31,1,L151))))</f>
        <v/>
      </c>
      <c r="M211" s="31" t="str">
        <f aca="false">IF(M151="","",IF(M151&lt;1,"",IF(M151&gt;D31,"",INDEX(I31:BP31,1,M151))))</f>
        <v/>
      </c>
      <c r="N211" s="31" t="str">
        <f aca="false">IF(N151="","",IF(N151&lt;1,"",IF(N151&gt;D31,"",INDEX(I31:BP31,1,N151))))</f>
        <v/>
      </c>
      <c r="O211" s="31" t="str">
        <f aca="false">IF(O151="","",IF(O151&lt;1,"",IF(O151&gt;D31,"",INDEX(I31:BP31,1,O151))))</f>
        <v/>
      </c>
      <c r="P211" s="31" t="str">
        <f aca="false">IF(P151="","",IF(P151&lt;1,"",IF(P151&gt;D31,"",INDEX(I31:BP31,1,P151))))</f>
        <v/>
      </c>
      <c r="Q211" s="31" t="str">
        <f aca="false">IF(Q151="","",IF(Q151&lt;1,"",IF(Q151&gt;D31,"",INDEX(I31:BP31,1,Q151))))</f>
        <v/>
      </c>
      <c r="R211" s="31" t="str">
        <f aca="false">IF(R151="","",IF(R151&lt;1,"",IF(R151&gt;D31,"",INDEX(I31:BP31,1,R151))))</f>
        <v/>
      </c>
      <c r="S211" s="31" t="str">
        <f aca="false">IF(S151="","",IF(S151&lt;1,"",IF(S151&gt;D31,"",INDEX(I31:BP31,1,S151))))</f>
        <v/>
      </c>
      <c r="T211" s="31" t="str">
        <f aca="false">IF(T151="","",IF(T151&lt;1,"",IF(T151&gt;D31,"",INDEX(I31:BP31,1,T151))))</f>
        <v/>
      </c>
    </row>
    <row r="212" customFormat="false" ht="15" hidden="false" customHeight="false" outlineLevel="0" collapsed="false">
      <c r="A212" s="29" t="str">
        <f aca="false">A32</f>
        <v/>
      </c>
      <c r="B212" s="29" t="str">
        <f aca="false">B32</f>
        <v/>
      </c>
      <c r="I212" s="31" t="str">
        <f aca="false">IF(I152="","",IF(I152&lt;1,"",IF(I152&gt;D32,"",INDEX(I32:BP32,1,I152))))</f>
        <v/>
      </c>
      <c r="J212" s="31" t="str">
        <f aca="false">IF(J152="","",IF(J152&lt;1,"",IF(J152&gt;D32,"",INDEX(I32:BP32,1,J152))))</f>
        <v/>
      </c>
      <c r="K212" s="31" t="str">
        <f aca="false">IF(K152="","",IF(K152&lt;1,"",IF(K152&gt;D32,"",INDEX(I32:BP32,1,K152))))</f>
        <v/>
      </c>
      <c r="L212" s="31" t="str">
        <f aca="false">IF(L152="","",IF(L152&lt;1,"",IF(L152&gt;D32,"",INDEX(I32:BP32,1,L152))))</f>
        <v/>
      </c>
      <c r="M212" s="31" t="str">
        <f aca="false">IF(M152="","",IF(M152&lt;1,"",IF(M152&gt;D32,"",INDEX(I32:BP32,1,M152))))</f>
        <v/>
      </c>
      <c r="N212" s="31" t="str">
        <f aca="false">IF(N152="","",IF(N152&lt;1,"",IF(N152&gt;D32,"",INDEX(I32:BP32,1,N152))))</f>
        <v/>
      </c>
      <c r="O212" s="31" t="str">
        <f aca="false">IF(O152="","",IF(O152&lt;1,"",IF(O152&gt;D32,"",INDEX(I32:BP32,1,O152))))</f>
        <v/>
      </c>
      <c r="P212" s="31" t="str">
        <f aca="false">IF(P152="","",IF(P152&lt;1,"",IF(P152&gt;D32,"",INDEX(I32:BP32,1,P152))))</f>
        <v/>
      </c>
      <c r="Q212" s="31" t="str">
        <f aca="false">IF(Q152="","",IF(Q152&lt;1,"",IF(Q152&gt;D32,"",INDEX(I32:BP32,1,Q152))))</f>
        <v/>
      </c>
      <c r="R212" s="31" t="str">
        <f aca="false">IF(R152="","",IF(R152&lt;1,"",IF(R152&gt;D32,"",INDEX(I32:BP32,1,R152))))</f>
        <v/>
      </c>
      <c r="S212" s="31" t="str">
        <f aca="false">IF(S152="","",IF(S152&lt;1,"",IF(S152&gt;D32,"",INDEX(I32:BP32,1,S152))))</f>
        <v/>
      </c>
      <c r="T212" s="31" t="str">
        <f aca="false">IF(T152="","",IF(T152&lt;1,"",IF(T152&gt;D32,"",INDEX(I32:BP32,1,T152))))</f>
        <v/>
      </c>
    </row>
    <row r="213" customFormat="false" ht="15" hidden="false" customHeight="false" outlineLevel="0" collapsed="false">
      <c r="A213" s="29" t="str">
        <f aca="false">A33</f>
        <v/>
      </c>
      <c r="B213" s="29" t="str">
        <f aca="false">B33</f>
        <v/>
      </c>
      <c r="I213" s="31" t="str">
        <f aca="false">IF(I153="","",IF(I153&lt;1,"",IF(I153&gt;D33,"",INDEX(I33:BP33,1,I153))))</f>
        <v/>
      </c>
      <c r="J213" s="31" t="str">
        <f aca="false">IF(J153="","",IF(J153&lt;1,"",IF(J153&gt;D33,"",INDEX(I33:BP33,1,J153))))</f>
        <v/>
      </c>
      <c r="K213" s="31" t="str">
        <f aca="false">IF(K153="","",IF(K153&lt;1,"",IF(K153&gt;D33,"",INDEX(I33:BP33,1,K153))))</f>
        <v/>
      </c>
      <c r="L213" s="31" t="str">
        <f aca="false">IF(L153="","",IF(L153&lt;1,"",IF(L153&gt;D33,"",INDEX(I33:BP33,1,L153))))</f>
        <v/>
      </c>
      <c r="M213" s="31" t="str">
        <f aca="false">IF(M153="","",IF(M153&lt;1,"",IF(M153&gt;D33,"",INDEX(I33:BP33,1,M153))))</f>
        <v/>
      </c>
      <c r="N213" s="31" t="str">
        <f aca="false">IF(N153="","",IF(N153&lt;1,"",IF(N153&gt;D33,"",INDEX(I33:BP33,1,N153))))</f>
        <v/>
      </c>
      <c r="O213" s="31" t="str">
        <f aca="false">IF(O153="","",IF(O153&lt;1,"",IF(O153&gt;D33,"",INDEX(I33:BP33,1,O153))))</f>
        <v/>
      </c>
      <c r="P213" s="31" t="str">
        <f aca="false">IF(P153="","",IF(P153&lt;1,"",IF(P153&gt;D33,"",INDEX(I33:BP33,1,P153))))</f>
        <v/>
      </c>
      <c r="Q213" s="31" t="str">
        <f aca="false">IF(Q153="","",IF(Q153&lt;1,"",IF(Q153&gt;D33,"",INDEX(I33:BP33,1,Q153))))</f>
        <v/>
      </c>
      <c r="R213" s="31" t="str">
        <f aca="false">IF(R153="","",IF(R153&lt;1,"",IF(R153&gt;D33,"",INDEX(I33:BP33,1,R153))))</f>
        <v/>
      </c>
      <c r="S213" s="31" t="str">
        <f aca="false">IF(S153="","",IF(S153&lt;1,"",IF(S153&gt;D33,"",INDEX(I33:BP33,1,S153))))</f>
        <v/>
      </c>
      <c r="T213" s="31" t="str">
        <f aca="false">IF(T153="","",IF(T153&lt;1,"",IF(T153&gt;D33,"",INDEX(I33:BP33,1,T153))))</f>
        <v/>
      </c>
    </row>
    <row r="214" customFormat="false" ht="15" hidden="false" customHeight="false" outlineLevel="0" collapsed="false">
      <c r="A214" s="29" t="str">
        <f aca="false">A34</f>
        <v/>
      </c>
      <c r="B214" s="29" t="str">
        <f aca="false">B34</f>
        <v/>
      </c>
      <c r="I214" s="31" t="str">
        <f aca="false">IF(I154="","",IF(I154&lt;1,"",IF(I154&gt;D34,"",INDEX(I34:BP34,1,I154))))</f>
        <v/>
      </c>
      <c r="J214" s="31" t="str">
        <f aca="false">IF(J154="","",IF(J154&lt;1,"",IF(J154&gt;D34,"",INDEX(I34:BP34,1,J154))))</f>
        <v/>
      </c>
      <c r="K214" s="31" t="str">
        <f aca="false">IF(K154="","",IF(K154&lt;1,"",IF(K154&gt;D34,"",INDEX(I34:BP34,1,K154))))</f>
        <v/>
      </c>
      <c r="L214" s="31" t="str">
        <f aca="false">IF(L154="","",IF(L154&lt;1,"",IF(L154&gt;D34,"",INDEX(I34:BP34,1,L154))))</f>
        <v/>
      </c>
      <c r="M214" s="31" t="str">
        <f aca="false">IF(M154="","",IF(M154&lt;1,"",IF(M154&gt;D34,"",INDEX(I34:BP34,1,M154))))</f>
        <v/>
      </c>
      <c r="N214" s="31" t="str">
        <f aca="false">IF(N154="","",IF(N154&lt;1,"",IF(N154&gt;D34,"",INDEX(I34:BP34,1,N154))))</f>
        <v/>
      </c>
      <c r="O214" s="31" t="str">
        <f aca="false">IF(O154="","",IF(O154&lt;1,"",IF(O154&gt;D34,"",INDEX(I34:BP34,1,O154))))</f>
        <v/>
      </c>
      <c r="P214" s="31" t="str">
        <f aca="false">IF(P154="","",IF(P154&lt;1,"",IF(P154&gt;D34,"",INDEX(I34:BP34,1,P154))))</f>
        <v/>
      </c>
      <c r="Q214" s="31" t="str">
        <f aca="false">IF(Q154="","",IF(Q154&lt;1,"",IF(Q154&gt;D34,"",INDEX(I34:BP34,1,Q154))))</f>
        <v/>
      </c>
      <c r="R214" s="31" t="str">
        <f aca="false">IF(R154="","",IF(R154&lt;1,"",IF(R154&gt;D34,"",INDEX(I34:BP34,1,R154))))</f>
        <v/>
      </c>
      <c r="S214" s="31" t="str">
        <f aca="false">IF(S154="","",IF(S154&lt;1,"",IF(S154&gt;D34,"",INDEX(I34:BP34,1,S154))))</f>
        <v/>
      </c>
      <c r="T214" s="31" t="str">
        <f aca="false">IF(T154="","",IF(T154&lt;1,"",IF(T154&gt;D34,"",INDEX(I34:BP34,1,T154))))</f>
        <v/>
      </c>
    </row>
    <row r="215" customFormat="false" ht="15" hidden="false" customHeight="false" outlineLevel="0" collapsed="false">
      <c r="A215" s="29" t="str">
        <f aca="false">A35</f>
        <v/>
      </c>
      <c r="B215" s="29" t="str">
        <f aca="false">B35</f>
        <v/>
      </c>
      <c r="I215" s="31" t="str">
        <f aca="false">IF(I155="","",IF(I155&lt;1,"",IF(I155&gt;D35,"",INDEX(I35:BP35,1,I155))))</f>
        <v/>
      </c>
      <c r="J215" s="31" t="str">
        <f aca="false">IF(J155="","",IF(J155&lt;1,"",IF(J155&gt;D35,"",INDEX(I35:BP35,1,J155))))</f>
        <v/>
      </c>
      <c r="K215" s="31" t="str">
        <f aca="false">IF(K155="","",IF(K155&lt;1,"",IF(K155&gt;D35,"",INDEX(I35:BP35,1,K155))))</f>
        <v/>
      </c>
      <c r="L215" s="31" t="str">
        <f aca="false">IF(L155="","",IF(L155&lt;1,"",IF(L155&gt;D35,"",INDEX(I35:BP35,1,L155))))</f>
        <v/>
      </c>
      <c r="M215" s="31" t="str">
        <f aca="false">IF(M155="","",IF(M155&lt;1,"",IF(M155&gt;D35,"",INDEX(I35:BP35,1,M155))))</f>
        <v/>
      </c>
      <c r="N215" s="31" t="str">
        <f aca="false">IF(N155="","",IF(N155&lt;1,"",IF(N155&gt;D35,"",INDEX(I35:BP35,1,N155))))</f>
        <v/>
      </c>
      <c r="O215" s="31" t="str">
        <f aca="false">IF(O155="","",IF(O155&lt;1,"",IF(O155&gt;D35,"",INDEX(I35:BP35,1,O155))))</f>
        <v/>
      </c>
      <c r="P215" s="31" t="str">
        <f aca="false">IF(P155="","",IF(P155&lt;1,"",IF(P155&gt;D35,"",INDEX(I35:BP35,1,P155))))</f>
        <v/>
      </c>
      <c r="Q215" s="31" t="str">
        <f aca="false">IF(Q155="","",IF(Q155&lt;1,"",IF(Q155&gt;D35,"",INDEX(I35:BP35,1,Q155))))</f>
        <v/>
      </c>
      <c r="R215" s="31" t="str">
        <f aca="false">IF(R155="","",IF(R155&lt;1,"",IF(R155&gt;D35,"",INDEX(I35:BP35,1,R155))))</f>
        <v/>
      </c>
      <c r="S215" s="31" t="str">
        <f aca="false">IF(S155="","",IF(S155&lt;1,"",IF(S155&gt;D35,"",INDEX(I35:BP35,1,S155))))</f>
        <v/>
      </c>
      <c r="T215" s="31" t="str">
        <f aca="false">IF(T155="","",IF(T155&lt;1,"",IF(T155&gt;D35,"",INDEX(I35:BP35,1,T155))))</f>
        <v/>
      </c>
    </row>
    <row r="216" customFormat="false" ht="15" hidden="false" customHeight="false" outlineLevel="0" collapsed="false">
      <c r="A216" s="29" t="str">
        <f aca="false">A36</f>
        <v/>
      </c>
      <c r="B216" s="29" t="str">
        <f aca="false">B36</f>
        <v/>
      </c>
      <c r="I216" s="31" t="str">
        <f aca="false">IF(I156="","",IF(I156&lt;1,"",IF(I156&gt;D36,"",INDEX(I36:BP36,1,I156))))</f>
        <v/>
      </c>
      <c r="J216" s="31" t="str">
        <f aca="false">IF(J156="","",IF(J156&lt;1,"",IF(J156&gt;D36,"",INDEX(I36:BP36,1,J156))))</f>
        <v/>
      </c>
      <c r="K216" s="31" t="str">
        <f aca="false">IF(K156="","",IF(K156&lt;1,"",IF(K156&gt;D36,"",INDEX(I36:BP36,1,K156))))</f>
        <v/>
      </c>
      <c r="L216" s="31" t="str">
        <f aca="false">IF(L156="","",IF(L156&lt;1,"",IF(L156&gt;D36,"",INDEX(I36:BP36,1,L156))))</f>
        <v/>
      </c>
      <c r="M216" s="31" t="str">
        <f aca="false">IF(M156="","",IF(M156&lt;1,"",IF(M156&gt;D36,"",INDEX(I36:BP36,1,M156))))</f>
        <v/>
      </c>
      <c r="N216" s="31" t="str">
        <f aca="false">IF(N156="","",IF(N156&lt;1,"",IF(N156&gt;D36,"",INDEX(I36:BP36,1,N156))))</f>
        <v/>
      </c>
      <c r="O216" s="31" t="str">
        <f aca="false">IF(O156="","",IF(O156&lt;1,"",IF(O156&gt;D36,"",INDEX(I36:BP36,1,O156))))</f>
        <v/>
      </c>
      <c r="P216" s="31" t="str">
        <f aca="false">IF(P156="","",IF(P156&lt;1,"",IF(P156&gt;D36,"",INDEX(I36:BP36,1,P156))))</f>
        <v/>
      </c>
      <c r="Q216" s="31" t="str">
        <f aca="false">IF(Q156="","",IF(Q156&lt;1,"",IF(Q156&gt;D36,"",INDEX(I36:BP36,1,Q156))))</f>
        <v/>
      </c>
      <c r="R216" s="31" t="str">
        <f aca="false">IF(R156="","",IF(R156&lt;1,"",IF(R156&gt;D36,"",INDEX(I36:BP36,1,R156))))</f>
        <v/>
      </c>
      <c r="S216" s="31" t="str">
        <f aca="false">IF(S156="","",IF(S156&lt;1,"",IF(S156&gt;D36,"",INDEX(I36:BP36,1,S156))))</f>
        <v/>
      </c>
      <c r="T216" s="31" t="str">
        <f aca="false">IF(T156="","",IF(T156&lt;1,"",IF(T156&gt;D36,"",INDEX(I36:BP36,1,T156))))</f>
        <v/>
      </c>
    </row>
    <row r="217" customFormat="false" ht="15" hidden="false" customHeight="false" outlineLevel="0" collapsed="false">
      <c r="A217" s="29" t="str">
        <f aca="false">A37</f>
        <v/>
      </c>
      <c r="B217" s="29" t="str">
        <f aca="false">B37</f>
        <v/>
      </c>
      <c r="I217" s="31" t="str">
        <f aca="false">IF(I157="","",IF(I157&lt;1,"",IF(I157&gt;D37,"",INDEX(I37:BP37,1,I157))))</f>
        <v/>
      </c>
      <c r="J217" s="31" t="str">
        <f aca="false">IF(J157="","",IF(J157&lt;1,"",IF(J157&gt;D37,"",INDEX(I37:BP37,1,J157))))</f>
        <v/>
      </c>
      <c r="K217" s="31" t="str">
        <f aca="false">IF(K157="","",IF(K157&lt;1,"",IF(K157&gt;D37,"",INDEX(I37:BP37,1,K157))))</f>
        <v/>
      </c>
      <c r="L217" s="31" t="str">
        <f aca="false">IF(L157="","",IF(L157&lt;1,"",IF(L157&gt;D37,"",INDEX(I37:BP37,1,L157))))</f>
        <v/>
      </c>
      <c r="M217" s="31" t="str">
        <f aca="false">IF(M157="","",IF(M157&lt;1,"",IF(M157&gt;D37,"",INDEX(I37:BP37,1,M157))))</f>
        <v/>
      </c>
      <c r="N217" s="31" t="str">
        <f aca="false">IF(N157="","",IF(N157&lt;1,"",IF(N157&gt;D37,"",INDEX(I37:BP37,1,N157))))</f>
        <v/>
      </c>
      <c r="O217" s="31" t="str">
        <f aca="false">IF(O157="","",IF(O157&lt;1,"",IF(O157&gt;D37,"",INDEX(I37:BP37,1,O157))))</f>
        <v/>
      </c>
      <c r="P217" s="31" t="str">
        <f aca="false">IF(P157="","",IF(P157&lt;1,"",IF(P157&gt;D37,"",INDEX(I37:BP37,1,P157))))</f>
        <v/>
      </c>
      <c r="Q217" s="31" t="str">
        <f aca="false">IF(Q157="","",IF(Q157&lt;1,"",IF(Q157&gt;D37,"",INDEX(I37:BP37,1,Q157))))</f>
        <v/>
      </c>
      <c r="R217" s="31" t="str">
        <f aca="false">IF(R157="","",IF(R157&lt;1,"",IF(R157&gt;D37,"",INDEX(I37:BP37,1,R157))))</f>
        <v/>
      </c>
      <c r="S217" s="31" t="str">
        <f aca="false">IF(S157="","",IF(S157&lt;1,"",IF(S157&gt;D37,"",INDEX(I37:BP37,1,S157))))</f>
        <v/>
      </c>
      <c r="T217" s="31" t="str">
        <f aca="false">IF(T157="","",IF(T157&lt;1,"",IF(T157&gt;D37,"",INDEX(I37:BP37,1,T157))))</f>
        <v/>
      </c>
    </row>
    <row r="218" customFormat="false" ht="15" hidden="false" customHeight="false" outlineLevel="0" collapsed="false">
      <c r="A218" s="29" t="str">
        <f aca="false">A38</f>
        <v/>
      </c>
      <c r="B218" s="29" t="str">
        <f aca="false">B38</f>
        <v/>
      </c>
      <c r="I218" s="31" t="str">
        <f aca="false">IF(I158="","",IF(I158&lt;1,"",IF(I158&gt;D38,"",INDEX(I38:BP38,1,I158))))</f>
        <v/>
      </c>
      <c r="J218" s="31" t="str">
        <f aca="false">IF(J158="","",IF(J158&lt;1,"",IF(J158&gt;D38,"",INDEX(I38:BP38,1,J158))))</f>
        <v/>
      </c>
      <c r="K218" s="31" t="str">
        <f aca="false">IF(K158="","",IF(K158&lt;1,"",IF(K158&gt;D38,"",INDEX(I38:BP38,1,K158))))</f>
        <v/>
      </c>
      <c r="L218" s="31" t="str">
        <f aca="false">IF(L158="","",IF(L158&lt;1,"",IF(L158&gt;D38,"",INDEX(I38:BP38,1,L158))))</f>
        <v/>
      </c>
      <c r="M218" s="31" t="str">
        <f aca="false">IF(M158="","",IF(M158&lt;1,"",IF(M158&gt;D38,"",INDEX(I38:BP38,1,M158))))</f>
        <v/>
      </c>
      <c r="N218" s="31" t="str">
        <f aca="false">IF(N158="","",IF(N158&lt;1,"",IF(N158&gt;D38,"",INDEX(I38:BP38,1,N158))))</f>
        <v/>
      </c>
      <c r="O218" s="31" t="str">
        <f aca="false">IF(O158="","",IF(O158&lt;1,"",IF(O158&gt;D38,"",INDEX(I38:BP38,1,O158))))</f>
        <v/>
      </c>
      <c r="P218" s="31" t="str">
        <f aca="false">IF(P158="","",IF(P158&lt;1,"",IF(P158&gt;D38,"",INDEX(I38:BP38,1,P158))))</f>
        <v/>
      </c>
      <c r="Q218" s="31" t="str">
        <f aca="false">IF(Q158="","",IF(Q158&lt;1,"",IF(Q158&gt;D38,"",INDEX(I38:BP38,1,Q158))))</f>
        <v/>
      </c>
      <c r="R218" s="31" t="str">
        <f aca="false">IF(R158="","",IF(R158&lt;1,"",IF(R158&gt;D38,"",INDEX(I38:BP38,1,R158))))</f>
        <v/>
      </c>
      <c r="S218" s="31" t="str">
        <f aca="false">IF(S158="","",IF(S158&lt;1,"",IF(S158&gt;D38,"",INDEX(I38:BP38,1,S158))))</f>
        <v/>
      </c>
      <c r="T218" s="31" t="str">
        <f aca="false">IF(T158="","",IF(T158&lt;1,"",IF(T158&gt;D38,"",INDEX(I38:BP38,1,T158))))</f>
        <v/>
      </c>
    </row>
    <row r="219" customFormat="false" ht="15" hidden="false" customHeight="false" outlineLevel="0" collapsed="false">
      <c r="A219" s="29" t="str">
        <f aca="false">A39</f>
        <v/>
      </c>
      <c r="B219" s="29" t="str">
        <f aca="false">B39</f>
        <v/>
      </c>
      <c r="I219" s="31" t="str">
        <f aca="false">IF(I159="","",IF(I159&lt;1,"",IF(I159&gt;D39,"",INDEX(I39:BP39,1,I159))))</f>
        <v/>
      </c>
      <c r="J219" s="31" t="str">
        <f aca="false">IF(J159="","",IF(J159&lt;1,"",IF(J159&gt;D39,"",INDEX(I39:BP39,1,J159))))</f>
        <v/>
      </c>
      <c r="K219" s="31" t="str">
        <f aca="false">IF(K159="","",IF(K159&lt;1,"",IF(K159&gt;D39,"",INDEX(I39:BP39,1,K159))))</f>
        <v/>
      </c>
      <c r="L219" s="31" t="str">
        <f aca="false">IF(L159="","",IF(L159&lt;1,"",IF(L159&gt;D39,"",INDEX(I39:BP39,1,L159))))</f>
        <v/>
      </c>
      <c r="M219" s="31" t="str">
        <f aca="false">IF(M159="","",IF(M159&lt;1,"",IF(M159&gt;D39,"",INDEX(I39:BP39,1,M159))))</f>
        <v/>
      </c>
      <c r="N219" s="31" t="str">
        <f aca="false">IF(N159="","",IF(N159&lt;1,"",IF(N159&gt;D39,"",INDEX(I39:BP39,1,N159))))</f>
        <v/>
      </c>
      <c r="O219" s="31" t="str">
        <f aca="false">IF(O159="","",IF(O159&lt;1,"",IF(O159&gt;D39,"",INDEX(I39:BP39,1,O159))))</f>
        <v/>
      </c>
      <c r="P219" s="31" t="str">
        <f aca="false">IF(P159="","",IF(P159&lt;1,"",IF(P159&gt;D39,"",INDEX(I39:BP39,1,P159))))</f>
        <v/>
      </c>
      <c r="Q219" s="31" t="str">
        <f aca="false">IF(Q159="","",IF(Q159&lt;1,"",IF(Q159&gt;D39,"",INDEX(I39:BP39,1,Q159))))</f>
        <v/>
      </c>
      <c r="R219" s="31" t="str">
        <f aca="false">IF(R159="","",IF(R159&lt;1,"",IF(R159&gt;D39,"",INDEX(I39:BP39,1,R159))))</f>
        <v/>
      </c>
      <c r="S219" s="31" t="str">
        <f aca="false">IF(S159="","",IF(S159&lt;1,"",IF(S159&gt;D39,"",INDEX(I39:BP39,1,S159))))</f>
        <v/>
      </c>
      <c r="T219" s="31" t="str">
        <f aca="false">IF(T159="","",IF(T159&lt;1,"",IF(T159&gt;D39,"",INDEX(I39:BP39,1,T159))))</f>
        <v/>
      </c>
    </row>
    <row r="220" customFormat="false" ht="15" hidden="false" customHeight="false" outlineLevel="0" collapsed="false">
      <c r="A220" s="29" t="str">
        <f aca="false">A40</f>
        <v/>
      </c>
      <c r="B220" s="29" t="str">
        <f aca="false">B40</f>
        <v/>
      </c>
      <c r="I220" s="31" t="str">
        <f aca="false">IF(I160="","",IF(I160&lt;1,"",IF(I160&gt;D40,"",INDEX(I40:BP40,1,I160))))</f>
        <v/>
      </c>
      <c r="J220" s="31" t="str">
        <f aca="false">IF(J160="","",IF(J160&lt;1,"",IF(J160&gt;D40,"",INDEX(I40:BP40,1,J160))))</f>
        <v/>
      </c>
      <c r="K220" s="31" t="str">
        <f aca="false">IF(K160="","",IF(K160&lt;1,"",IF(K160&gt;D40,"",INDEX(I40:BP40,1,K160))))</f>
        <v/>
      </c>
      <c r="L220" s="31" t="str">
        <f aca="false">IF(L160="","",IF(L160&lt;1,"",IF(L160&gt;D40,"",INDEX(I40:BP40,1,L160))))</f>
        <v/>
      </c>
      <c r="M220" s="31" t="str">
        <f aca="false">IF(M160="","",IF(M160&lt;1,"",IF(M160&gt;D40,"",INDEX(I40:BP40,1,M160))))</f>
        <v/>
      </c>
      <c r="N220" s="31" t="str">
        <f aca="false">IF(N160="","",IF(N160&lt;1,"",IF(N160&gt;D40,"",INDEX(I40:BP40,1,N160))))</f>
        <v/>
      </c>
      <c r="O220" s="31" t="str">
        <f aca="false">IF(O160="","",IF(O160&lt;1,"",IF(O160&gt;D40,"",INDEX(I40:BP40,1,O160))))</f>
        <v/>
      </c>
      <c r="P220" s="31" t="str">
        <f aca="false">IF(P160="","",IF(P160&lt;1,"",IF(P160&gt;D40,"",INDEX(I40:BP40,1,P160))))</f>
        <v/>
      </c>
      <c r="Q220" s="31" t="str">
        <f aca="false">IF(Q160="","",IF(Q160&lt;1,"",IF(Q160&gt;D40,"",INDEX(I40:BP40,1,Q160))))</f>
        <v/>
      </c>
      <c r="R220" s="31" t="str">
        <f aca="false">IF(R160="","",IF(R160&lt;1,"",IF(R160&gt;D40,"",INDEX(I40:BP40,1,R160))))</f>
        <v/>
      </c>
      <c r="S220" s="31" t="str">
        <f aca="false">IF(S160="","",IF(S160&lt;1,"",IF(S160&gt;D40,"",INDEX(I40:BP40,1,S160))))</f>
        <v/>
      </c>
      <c r="T220" s="31" t="str">
        <f aca="false">IF(T160="","",IF(T160&lt;1,"",IF(T160&gt;D40,"",INDEX(I40:BP40,1,T160))))</f>
        <v/>
      </c>
    </row>
    <row r="221" customFormat="false" ht="15" hidden="false" customHeight="false" outlineLevel="0" collapsed="false">
      <c r="A221" s="29" t="str">
        <f aca="false">A41</f>
        <v/>
      </c>
      <c r="B221" s="29" t="str">
        <f aca="false">B41</f>
        <v/>
      </c>
      <c r="I221" s="31" t="str">
        <f aca="false">IF(I161="","",IF(I161&lt;1,"",IF(I161&gt;D41,"",INDEX(I41:BP41,1,I161))))</f>
        <v/>
      </c>
      <c r="J221" s="31" t="str">
        <f aca="false">IF(J161="","",IF(J161&lt;1,"",IF(J161&gt;D41,"",INDEX(I41:BP41,1,J161))))</f>
        <v/>
      </c>
      <c r="K221" s="31" t="str">
        <f aca="false">IF(K161="","",IF(K161&lt;1,"",IF(K161&gt;D41,"",INDEX(I41:BP41,1,K161))))</f>
        <v/>
      </c>
      <c r="L221" s="31" t="str">
        <f aca="false">IF(L161="","",IF(L161&lt;1,"",IF(L161&gt;D41,"",INDEX(I41:BP41,1,L161))))</f>
        <v/>
      </c>
      <c r="M221" s="31" t="str">
        <f aca="false">IF(M161="","",IF(M161&lt;1,"",IF(M161&gt;D41,"",INDEX(I41:BP41,1,M161))))</f>
        <v/>
      </c>
      <c r="N221" s="31" t="str">
        <f aca="false">IF(N161="","",IF(N161&lt;1,"",IF(N161&gt;D41,"",INDEX(I41:BP41,1,N161))))</f>
        <v/>
      </c>
      <c r="O221" s="31" t="str">
        <f aca="false">IF(O161="","",IF(O161&lt;1,"",IF(O161&gt;D41,"",INDEX(I41:BP41,1,O161))))</f>
        <v/>
      </c>
      <c r="P221" s="31" t="str">
        <f aca="false">IF(P161="","",IF(P161&lt;1,"",IF(P161&gt;D41,"",INDEX(I41:BP41,1,P161))))</f>
        <v/>
      </c>
      <c r="Q221" s="31" t="str">
        <f aca="false">IF(Q161="","",IF(Q161&lt;1,"",IF(Q161&gt;D41,"",INDEX(I41:BP41,1,Q161))))</f>
        <v/>
      </c>
      <c r="R221" s="31" t="str">
        <f aca="false">IF(R161="","",IF(R161&lt;1,"",IF(R161&gt;D41,"",INDEX(I41:BP41,1,R161))))</f>
        <v/>
      </c>
      <c r="S221" s="31" t="str">
        <f aca="false">IF(S161="","",IF(S161&lt;1,"",IF(S161&gt;D41,"",INDEX(I41:BP41,1,S161))))</f>
        <v/>
      </c>
      <c r="T221" s="31" t="str">
        <f aca="false">IF(T161="","",IF(T161&lt;1,"",IF(T161&gt;D41,"",INDEX(I41:BP41,1,T161))))</f>
        <v/>
      </c>
    </row>
    <row r="222" customFormat="false" ht="15" hidden="false" customHeight="false" outlineLevel="0" collapsed="false">
      <c r="A222" s="29" t="str">
        <f aca="false">A42</f>
        <v/>
      </c>
      <c r="B222" s="29" t="str">
        <f aca="false">B42</f>
        <v/>
      </c>
      <c r="I222" s="31" t="str">
        <f aca="false">IF(I162="","",IF(I162&lt;1,"",IF(I162&gt;D42,"",INDEX(I42:BP42,1,I162))))</f>
        <v/>
      </c>
      <c r="J222" s="31" t="str">
        <f aca="false">IF(J162="","",IF(J162&lt;1,"",IF(J162&gt;D42,"",INDEX(I42:BP42,1,J162))))</f>
        <v/>
      </c>
      <c r="K222" s="31" t="str">
        <f aca="false">IF(K162="","",IF(K162&lt;1,"",IF(K162&gt;D42,"",INDEX(I42:BP42,1,K162))))</f>
        <v/>
      </c>
      <c r="L222" s="31" t="str">
        <f aca="false">IF(L162="","",IF(L162&lt;1,"",IF(L162&gt;D42,"",INDEX(I42:BP42,1,L162))))</f>
        <v/>
      </c>
      <c r="M222" s="31" t="str">
        <f aca="false">IF(M162="","",IF(M162&lt;1,"",IF(M162&gt;D42,"",INDEX(I42:BP42,1,M162))))</f>
        <v/>
      </c>
      <c r="N222" s="31" t="str">
        <f aca="false">IF(N162="","",IF(N162&lt;1,"",IF(N162&gt;D42,"",INDEX(I42:BP42,1,N162))))</f>
        <v/>
      </c>
      <c r="O222" s="31" t="str">
        <f aca="false">IF(O162="","",IF(O162&lt;1,"",IF(O162&gt;D42,"",INDEX(I42:BP42,1,O162))))</f>
        <v/>
      </c>
      <c r="P222" s="31" t="str">
        <f aca="false">IF(P162="","",IF(P162&lt;1,"",IF(P162&gt;D42,"",INDEX(I42:BP42,1,P162))))</f>
        <v/>
      </c>
      <c r="Q222" s="31" t="str">
        <f aca="false">IF(Q162="","",IF(Q162&lt;1,"",IF(Q162&gt;D42,"",INDEX(I42:BP42,1,Q162))))</f>
        <v/>
      </c>
      <c r="R222" s="31" t="str">
        <f aca="false">IF(R162="","",IF(R162&lt;1,"",IF(R162&gt;D42,"",INDEX(I42:BP42,1,R162))))</f>
        <v/>
      </c>
      <c r="S222" s="31" t="str">
        <f aca="false">IF(S162="","",IF(S162&lt;1,"",IF(S162&gt;D42,"",INDEX(I42:BP42,1,S162))))</f>
        <v/>
      </c>
      <c r="T222" s="31" t="str">
        <f aca="false">IF(T162="","",IF(T162&lt;1,"",IF(T162&gt;D42,"",INDEX(I42:BP42,1,T162))))</f>
        <v/>
      </c>
    </row>
    <row r="223" customFormat="false" ht="15" hidden="false" customHeight="false" outlineLevel="0" collapsed="false">
      <c r="A223" s="29" t="str">
        <f aca="false">A43</f>
        <v/>
      </c>
      <c r="B223" s="29" t="str">
        <f aca="false">B43</f>
        <v/>
      </c>
      <c r="I223" s="31" t="str">
        <f aca="false">IF(I163="","",IF(I163&lt;1,"",IF(I163&gt;D43,"",INDEX(I43:BP43,1,I163))))</f>
        <v/>
      </c>
      <c r="J223" s="31" t="str">
        <f aca="false">IF(J163="","",IF(J163&lt;1,"",IF(J163&gt;D43,"",INDEX(I43:BP43,1,J163))))</f>
        <v/>
      </c>
      <c r="K223" s="31" t="str">
        <f aca="false">IF(K163="","",IF(K163&lt;1,"",IF(K163&gt;D43,"",INDEX(I43:BP43,1,K163))))</f>
        <v/>
      </c>
      <c r="L223" s="31" t="str">
        <f aca="false">IF(L163="","",IF(L163&lt;1,"",IF(L163&gt;D43,"",INDEX(I43:BP43,1,L163))))</f>
        <v/>
      </c>
      <c r="M223" s="31" t="str">
        <f aca="false">IF(M163="","",IF(M163&lt;1,"",IF(M163&gt;D43,"",INDEX(I43:BP43,1,M163))))</f>
        <v/>
      </c>
      <c r="N223" s="31" t="str">
        <f aca="false">IF(N163="","",IF(N163&lt;1,"",IF(N163&gt;D43,"",INDEX(I43:BP43,1,N163))))</f>
        <v/>
      </c>
      <c r="O223" s="31" t="str">
        <f aca="false">IF(O163="","",IF(O163&lt;1,"",IF(O163&gt;D43,"",INDEX(I43:BP43,1,O163))))</f>
        <v/>
      </c>
      <c r="P223" s="31" t="str">
        <f aca="false">IF(P163="","",IF(P163&lt;1,"",IF(P163&gt;D43,"",INDEX(I43:BP43,1,P163))))</f>
        <v/>
      </c>
      <c r="Q223" s="31" t="str">
        <f aca="false">IF(Q163="","",IF(Q163&lt;1,"",IF(Q163&gt;D43,"",INDEX(I43:BP43,1,Q163))))</f>
        <v/>
      </c>
      <c r="R223" s="31" t="str">
        <f aca="false">IF(R163="","",IF(R163&lt;1,"",IF(R163&gt;D43,"",INDEX(I43:BP43,1,R163))))</f>
        <v/>
      </c>
      <c r="S223" s="31" t="str">
        <f aca="false">IF(S163="","",IF(S163&lt;1,"",IF(S163&gt;D43,"",INDEX(I43:BP43,1,S163))))</f>
        <v/>
      </c>
      <c r="T223" s="31" t="str">
        <f aca="false">IF(T163="","",IF(T163&lt;1,"",IF(T163&gt;D43,"",INDEX(I43:BP43,1,T163))))</f>
        <v/>
      </c>
    </row>
    <row r="224" customFormat="false" ht="15" hidden="false" customHeight="false" outlineLevel="0" collapsed="false">
      <c r="A224" s="29" t="str">
        <f aca="false">A44</f>
        <v/>
      </c>
      <c r="B224" s="29" t="str">
        <f aca="false">B44</f>
        <v/>
      </c>
      <c r="I224" s="31" t="str">
        <f aca="false">IF(I164="","",IF(I164&lt;1,"",IF(I164&gt;D44,"",INDEX(I44:BP44,1,I164))))</f>
        <v/>
      </c>
      <c r="J224" s="31" t="str">
        <f aca="false">IF(J164="","",IF(J164&lt;1,"",IF(J164&gt;D44,"",INDEX(I44:BP44,1,J164))))</f>
        <v/>
      </c>
      <c r="K224" s="31" t="str">
        <f aca="false">IF(K164="","",IF(K164&lt;1,"",IF(K164&gt;D44,"",INDEX(I44:BP44,1,K164))))</f>
        <v/>
      </c>
      <c r="L224" s="31" t="str">
        <f aca="false">IF(L164="","",IF(L164&lt;1,"",IF(L164&gt;D44,"",INDEX(I44:BP44,1,L164))))</f>
        <v/>
      </c>
      <c r="M224" s="31" t="str">
        <f aca="false">IF(M164="","",IF(M164&lt;1,"",IF(M164&gt;D44,"",INDEX(I44:BP44,1,M164))))</f>
        <v/>
      </c>
      <c r="N224" s="31" t="str">
        <f aca="false">IF(N164="","",IF(N164&lt;1,"",IF(N164&gt;D44,"",INDEX(I44:BP44,1,N164))))</f>
        <v/>
      </c>
      <c r="O224" s="31" t="str">
        <f aca="false">IF(O164="","",IF(O164&lt;1,"",IF(O164&gt;D44,"",INDEX(I44:BP44,1,O164))))</f>
        <v/>
      </c>
      <c r="P224" s="31" t="str">
        <f aca="false">IF(P164="","",IF(P164&lt;1,"",IF(P164&gt;D44,"",INDEX(I44:BP44,1,P164))))</f>
        <v/>
      </c>
      <c r="Q224" s="31" t="str">
        <f aca="false">IF(Q164="","",IF(Q164&lt;1,"",IF(Q164&gt;D44,"",INDEX(I44:BP44,1,Q164))))</f>
        <v/>
      </c>
      <c r="R224" s="31" t="str">
        <f aca="false">IF(R164="","",IF(R164&lt;1,"",IF(R164&gt;D44,"",INDEX(I44:BP44,1,R164))))</f>
        <v/>
      </c>
      <c r="S224" s="31" t="str">
        <f aca="false">IF(S164="","",IF(S164&lt;1,"",IF(S164&gt;D44,"",INDEX(I44:BP44,1,S164))))</f>
        <v/>
      </c>
      <c r="T224" s="31" t="str">
        <f aca="false">IF(T164="","",IF(T164&lt;1,"",IF(T164&gt;D44,"",INDEX(I44:BP44,1,T164))))</f>
        <v/>
      </c>
    </row>
    <row r="225" customFormat="false" ht="15" hidden="false" customHeight="false" outlineLevel="0" collapsed="false">
      <c r="A225" s="29" t="str">
        <f aca="false">A45</f>
        <v/>
      </c>
      <c r="B225" s="29" t="str">
        <f aca="false">B45</f>
        <v/>
      </c>
      <c r="I225" s="31" t="str">
        <f aca="false">IF(I165="","",IF(I165&lt;1,"",IF(I165&gt;D45,"",INDEX(I45:BP45,1,I165))))</f>
        <v/>
      </c>
      <c r="J225" s="31" t="str">
        <f aca="false">IF(J165="","",IF(J165&lt;1,"",IF(J165&gt;D45,"",INDEX(I45:BP45,1,J165))))</f>
        <v/>
      </c>
      <c r="K225" s="31" t="str">
        <f aca="false">IF(K165="","",IF(K165&lt;1,"",IF(K165&gt;D45,"",INDEX(I45:BP45,1,K165))))</f>
        <v/>
      </c>
      <c r="L225" s="31" t="str">
        <f aca="false">IF(L165="","",IF(L165&lt;1,"",IF(L165&gt;D45,"",INDEX(I45:BP45,1,L165))))</f>
        <v/>
      </c>
      <c r="M225" s="31" t="str">
        <f aca="false">IF(M165="","",IF(M165&lt;1,"",IF(M165&gt;D45,"",INDEX(I45:BP45,1,M165))))</f>
        <v/>
      </c>
      <c r="N225" s="31" t="str">
        <f aca="false">IF(N165="","",IF(N165&lt;1,"",IF(N165&gt;D45,"",INDEX(I45:BP45,1,N165))))</f>
        <v/>
      </c>
      <c r="O225" s="31" t="str">
        <f aca="false">IF(O165="","",IF(O165&lt;1,"",IF(O165&gt;D45,"",INDEX(I45:BP45,1,O165))))</f>
        <v/>
      </c>
      <c r="P225" s="31" t="str">
        <f aca="false">IF(P165="","",IF(P165&lt;1,"",IF(P165&gt;D45,"",INDEX(I45:BP45,1,P165))))</f>
        <v/>
      </c>
      <c r="Q225" s="31" t="str">
        <f aca="false">IF(Q165="","",IF(Q165&lt;1,"",IF(Q165&gt;D45,"",INDEX(I45:BP45,1,Q165))))</f>
        <v/>
      </c>
      <c r="R225" s="31" t="str">
        <f aca="false">IF(R165="","",IF(R165&lt;1,"",IF(R165&gt;D45,"",INDEX(I45:BP45,1,R165))))</f>
        <v/>
      </c>
      <c r="S225" s="31" t="str">
        <f aca="false">IF(S165="","",IF(S165&lt;1,"",IF(S165&gt;D45,"",INDEX(I45:BP45,1,S165))))</f>
        <v/>
      </c>
      <c r="T225" s="31" t="str">
        <f aca="false">IF(T165="","",IF(T165&lt;1,"",IF(T165&gt;D45,"",INDEX(I45:BP45,1,T165))))</f>
        <v/>
      </c>
    </row>
    <row r="226" customFormat="false" ht="15" hidden="false" customHeight="false" outlineLevel="0" collapsed="false">
      <c r="A226" s="29" t="str">
        <f aca="false">A46</f>
        <v/>
      </c>
      <c r="B226" s="29" t="str">
        <f aca="false">B46</f>
        <v/>
      </c>
      <c r="I226" s="31" t="str">
        <f aca="false">IF(I166="","",IF(I166&lt;1,"",IF(I166&gt;D46,"",INDEX(I46:BP46,1,I166))))</f>
        <v/>
      </c>
      <c r="J226" s="31" t="str">
        <f aca="false">IF(J166="","",IF(J166&lt;1,"",IF(J166&gt;D46,"",INDEX(I46:BP46,1,J166))))</f>
        <v/>
      </c>
      <c r="K226" s="31" t="str">
        <f aca="false">IF(K166="","",IF(K166&lt;1,"",IF(K166&gt;D46,"",INDEX(I46:BP46,1,K166))))</f>
        <v/>
      </c>
      <c r="L226" s="31" t="str">
        <f aca="false">IF(L166="","",IF(L166&lt;1,"",IF(L166&gt;D46,"",INDEX(I46:BP46,1,L166))))</f>
        <v/>
      </c>
      <c r="M226" s="31" t="str">
        <f aca="false">IF(M166="","",IF(M166&lt;1,"",IF(M166&gt;D46,"",INDEX(I46:BP46,1,M166))))</f>
        <v/>
      </c>
      <c r="N226" s="31" t="str">
        <f aca="false">IF(N166="","",IF(N166&lt;1,"",IF(N166&gt;D46,"",INDEX(I46:BP46,1,N166))))</f>
        <v/>
      </c>
      <c r="O226" s="31" t="str">
        <f aca="false">IF(O166="","",IF(O166&lt;1,"",IF(O166&gt;D46,"",INDEX(I46:BP46,1,O166))))</f>
        <v/>
      </c>
      <c r="P226" s="31" t="str">
        <f aca="false">IF(P166="","",IF(P166&lt;1,"",IF(P166&gt;D46,"",INDEX(I46:BP46,1,P166))))</f>
        <v/>
      </c>
      <c r="Q226" s="31" t="str">
        <f aca="false">IF(Q166="","",IF(Q166&lt;1,"",IF(Q166&gt;D46,"",INDEX(I46:BP46,1,Q166))))</f>
        <v/>
      </c>
      <c r="R226" s="31" t="str">
        <f aca="false">IF(R166="","",IF(R166&lt;1,"",IF(R166&gt;D46,"",INDEX(I46:BP46,1,R166))))</f>
        <v/>
      </c>
      <c r="S226" s="31" t="str">
        <f aca="false">IF(S166="","",IF(S166&lt;1,"",IF(S166&gt;D46,"",INDEX(I46:BP46,1,S166))))</f>
        <v/>
      </c>
      <c r="T226" s="31" t="str">
        <f aca="false">IF(T166="","",IF(T166&lt;1,"",IF(T166&gt;D46,"",INDEX(I46:BP46,1,T166))))</f>
        <v/>
      </c>
    </row>
    <row r="227" customFormat="false" ht="15" hidden="false" customHeight="false" outlineLevel="0" collapsed="false">
      <c r="A227" s="29" t="str">
        <f aca="false">A47</f>
        <v/>
      </c>
      <c r="B227" s="29" t="str">
        <f aca="false">B47</f>
        <v/>
      </c>
      <c r="I227" s="31" t="str">
        <f aca="false">IF(I167="","",IF(I167&lt;1,"",IF(I167&gt;D47,"",INDEX(I47:BP47,1,I167))))</f>
        <v/>
      </c>
      <c r="J227" s="31" t="str">
        <f aca="false">IF(J167="","",IF(J167&lt;1,"",IF(J167&gt;D47,"",INDEX(I47:BP47,1,J167))))</f>
        <v/>
      </c>
      <c r="K227" s="31" t="str">
        <f aca="false">IF(K167="","",IF(K167&lt;1,"",IF(K167&gt;D47,"",INDEX(I47:BP47,1,K167))))</f>
        <v/>
      </c>
      <c r="L227" s="31" t="str">
        <f aca="false">IF(L167="","",IF(L167&lt;1,"",IF(L167&gt;D47,"",INDEX(I47:BP47,1,L167))))</f>
        <v/>
      </c>
      <c r="M227" s="31" t="str">
        <f aca="false">IF(M167="","",IF(M167&lt;1,"",IF(M167&gt;D47,"",INDEX(I47:BP47,1,M167))))</f>
        <v/>
      </c>
      <c r="N227" s="31" t="str">
        <f aca="false">IF(N167="","",IF(N167&lt;1,"",IF(N167&gt;D47,"",INDEX(I47:BP47,1,N167))))</f>
        <v/>
      </c>
      <c r="O227" s="31" t="str">
        <f aca="false">IF(O167="","",IF(O167&lt;1,"",IF(O167&gt;D47,"",INDEX(I47:BP47,1,O167))))</f>
        <v/>
      </c>
      <c r="P227" s="31" t="str">
        <f aca="false">IF(P167="","",IF(P167&lt;1,"",IF(P167&gt;D47,"",INDEX(I47:BP47,1,P167))))</f>
        <v/>
      </c>
      <c r="Q227" s="31" t="str">
        <f aca="false">IF(Q167="","",IF(Q167&lt;1,"",IF(Q167&gt;D47,"",INDEX(I47:BP47,1,Q167))))</f>
        <v/>
      </c>
      <c r="R227" s="31" t="str">
        <f aca="false">IF(R167="","",IF(R167&lt;1,"",IF(R167&gt;D47,"",INDEX(I47:BP47,1,R167))))</f>
        <v/>
      </c>
      <c r="S227" s="31" t="str">
        <f aca="false">IF(S167="","",IF(S167&lt;1,"",IF(S167&gt;D47,"",INDEX(I47:BP47,1,S167))))</f>
        <v/>
      </c>
      <c r="T227" s="31" t="str">
        <f aca="false">IF(T167="","",IF(T167&lt;1,"",IF(T167&gt;D47,"",INDEX(I47:BP47,1,T167))))</f>
        <v/>
      </c>
    </row>
    <row r="228" customFormat="false" ht="15" hidden="false" customHeight="false" outlineLevel="0" collapsed="false">
      <c r="A228" s="29" t="str">
        <f aca="false">A48</f>
        <v/>
      </c>
      <c r="B228" s="29" t="str">
        <f aca="false">B48</f>
        <v/>
      </c>
      <c r="I228" s="31" t="str">
        <f aca="false">IF(I168="","",IF(I168&lt;1,"",IF(I168&gt;D48,"",INDEX(I48:BP48,1,I168))))</f>
        <v/>
      </c>
      <c r="J228" s="31" t="str">
        <f aca="false">IF(J168="","",IF(J168&lt;1,"",IF(J168&gt;D48,"",INDEX(I48:BP48,1,J168))))</f>
        <v/>
      </c>
      <c r="K228" s="31" t="str">
        <f aca="false">IF(K168="","",IF(K168&lt;1,"",IF(K168&gt;D48,"",INDEX(I48:BP48,1,K168))))</f>
        <v/>
      </c>
      <c r="L228" s="31" t="str">
        <f aca="false">IF(L168="","",IF(L168&lt;1,"",IF(L168&gt;D48,"",INDEX(I48:BP48,1,L168))))</f>
        <v/>
      </c>
      <c r="M228" s="31" t="str">
        <f aca="false">IF(M168="","",IF(M168&lt;1,"",IF(M168&gt;D48,"",INDEX(I48:BP48,1,M168))))</f>
        <v/>
      </c>
      <c r="N228" s="31" t="str">
        <f aca="false">IF(N168="","",IF(N168&lt;1,"",IF(N168&gt;D48,"",INDEX(I48:BP48,1,N168))))</f>
        <v/>
      </c>
      <c r="O228" s="31" t="str">
        <f aca="false">IF(O168="","",IF(O168&lt;1,"",IF(O168&gt;D48,"",INDEX(I48:BP48,1,O168))))</f>
        <v/>
      </c>
      <c r="P228" s="31" t="str">
        <f aca="false">IF(P168="","",IF(P168&lt;1,"",IF(P168&gt;D48,"",INDEX(I48:BP48,1,P168))))</f>
        <v/>
      </c>
      <c r="Q228" s="31" t="str">
        <f aca="false">IF(Q168="","",IF(Q168&lt;1,"",IF(Q168&gt;D48,"",INDEX(I48:BP48,1,Q168))))</f>
        <v/>
      </c>
      <c r="R228" s="31" t="str">
        <f aca="false">IF(R168="","",IF(R168&lt;1,"",IF(R168&gt;D48,"",INDEX(I48:BP48,1,R168))))</f>
        <v/>
      </c>
      <c r="S228" s="31" t="str">
        <f aca="false">IF(S168="","",IF(S168&lt;1,"",IF(S168&gt;D48,"",INDEX(I48:BP48,1,S168))))</f>
        <v/>
      </c>
      <c r="T228" s="31" t="str">
        <f aca="false">IF(T168="","",IF(T168&lt;1,"",IF(T168&gt;D48,"",INDEX(I48:BP48,1,T168))))</f>
        <v/>
      </c>
    </row>
    <row r="229" customFormat="false" ht="15" hidden="false" customHeight="false" outlineLevel="0" collapsed="false">
      <c r="A229" s="29" t="str">
        <f aca="false">A49</f>
        <v/>
      </c>
      <c r="B229" s="29" t="str">
        <f aca="false">B49</f>
        <v/>
      </c>
      <c r="I229" s="31" t="str">
        <f aca="false">IF(I169="","",IF(I169&lt;1,"",IF(I169&gt;D49,"",INDEX(I49:BP49,1,I169))))</f>
        <v/>
      </c>
      <c r="J229" s="31" t="str">
        <f aca="false">IF(J169="","",IF(J169&lt;1,"",IF(J169&gt;D49,"",INDEX(I49:BP49,1,J169))))</f>
        <v/>
      </c>
      <c r="K229" s="31" t="str">
        <f aca="false">IF(K169="","",IF(K169&lt;1,"",IF(K169&gt;D49,"",INDEX(I49:BP49,1,K169))))</f>
        <v/>
      </c>
      <c r="L229" s="31" t="str">
        <f aca="false">IF(L169="","",IF(L169&lt;1,"",IF(L169&gt;D49,"",INDEX(I49:BP49,1,L169))))</f>
        <v/>
      </c>
      <c r="M229" s="31" t="str">
        <f aca="false">IF(M169="","",IF(M169&lt;1,"",IF(M169&gt;D49,"",INDEX(I49:BP49,1,M169))))</f>
        <v/>
      </c>
      <c r="N229" s="31" t="str">
        <f aca="false">IF(N169="","",IF(N169&lt;1,"",IF(N169&gt;D49,"",INDEX(I49:BP49,1,N169))))</f>
        <v/>
      </c>
      <c r="O229" s="31" t="str">
        <f aca="false">IF(O169="","",IF(O169&lt;1,"",IF(O169&gt;D49,"",INDEX(I49:BP49,1,O169))))</f>
        <v/>
      </c>
      <c r="P229" s="31" t="str">
        <f aca="false">IF(P169="","",IF(P169&lt;1,"",IF(P169&gt;D49,"",INDEX(I49:BP49,1,P169))))</f>
        <v/>
      </c>
      <c r="Q229" s="31" t="str">
        <f aca="false">IF(Q169="","",IF(Q169&lt;1,"",IF(Q169&gt;D49,"",INDEX(I49:BP49,1,Q169))))</f>
        <v/>
      </c>
      <c r="R229" s="31" t="str">
        <f aca="false">IF(R169="","",IF(R169&lt;1,"",IF(R169&gt;D49,"",INDEX(I49:BP49,1,R169))))</f>
        <v/>
      </c>
      <c r="S229" s="31" t="str">
        <f aca="false">IF(S169="","",IF(S169&lt;1,"",IF(S169&gt;D49,"",INDEX(I49:BP49,1,S169))))</f>
        <v/>
      </c>
      <c r="T229" s="31" t="str">
        <f aca="false">IF(T169="","",IF(T169&lt;1,"",IF(T169&gt;D49,"",INDEX(I49:BP49,1,T169))))</f>
        <v/>
      </c>
    </row>
    <row r="230" customFormat="false" ht="15" hidden="false" customHeight="false" outlineLevel="0" collapsed="false">
      <c r="A230" s="29" t="str">
        <f aca="false">A50</f>
        <v/>
      </c>
      <c r="B230" s="29" t="str">
        <f aca="false">B50</f>
        <v/>
      </c>
      <c r="I230" s="31" t="str">
        <f aca="false">IF(I170="","",IF(I170&lt;1,"",IF(I170&gt;D50,"",INDEX(I50:BP50,1,I170))))</f>
        <v/>
      </c>
      <c r="J230" s="31" t="str">
        <f aca="false">IF(J170="","",IF(J170&lt;1,"",IF(J170&gt;D50,"",INDEX(I50:BP50,1,J170))))</f>
        <v/>
      </c>
      <c r="K230" s="31" t="str">
        <f aca="false">IF(K170="","",IF(K170&lt;1,"",IF(K170&gt;D50,"",INDEX(I50:BP50,1,K170))))</f>
        <v/>
      </c>
      <c r="L230" s="31" t="str">
        <f aca="false">IF(L170="","",IF(L170&lt;1,"",IF(L170&gt;D50,"",INDEX(I50:BP50,1,L170))))</f>
        <v/>
      </c>
      <c r="M230" s="31" t="str">
        <f aca="false">IF(M170="","",IF(M170&lt;1,"",IF(M170&gt;D50,"",INDEX(I50:BP50,1,M170))))</f>
        <v/>
      </c>
      <c r="N230" s="31" t="str">
        <f aca="false">IF(N170="","",IF(N170&lt;1,"",IF(N170&gt;D50,"",INDEX(I50:BP50,1,N170))))</f>
        <v/>
      </c>
      <c r="O230" s="31" t="str">
        <f aca="false">IF(O170="","",IF(O170&lt;1,"",IF(O170&gt;D50,"",INDEX(I50:BP50,1,O170))))</f>
        <v/>
      </c>
      <c r="P230" s="31" t="str">
        <f aca="false">IF(P170="","",IF(P170&lt;1,"",IF(P170&gt;D50,"",INDEX(I50:BP50,1,P170))))</f>
        <v/>
      </c>
      <c r="Q230" s="31" t="str">
        <f aca="false">IF(Q170="","",IF(Q170&lt;1,"",IF(Q170&gt;D50,"",INDEX(I50:BP50,1,Q170))))</f>
        <v/>
      </c>
      <c r="R230" s="31" t="str">
        <f aca="false">IF(R170="","",IF(R170&lt;1,"",IF(R170&gt;D50,"",INDEX(I50:BP50,1,R170))))</f>
        <v/>
      </c>
      <c r="S230" s="31" t="str">
        <f aca="false">IF(S170="","",IF(S170&lt;1,"",IF(S170&gt;D50,"",INDEX(I50:BP50,1,S170))))</f>
        <v/>
      </c>
      <c r="T230" s="31" t="str">
        <f aca="false">IF(T170="","",IF(T170&lt;1,"",IF(T170&gt;D50,"",INDEX(I50:BP50,1,T170))))</f>
        <v/>
      </c>
    </row>
    <row r="231" customFormat="false" ht="15" hidden="false" customHeight="false" outlineLevel="0" collapsed="false">
      <c r="A231" s="29" t="str">
        <f aca="false">A51</f>
        <v/>
      </c>
      <c r="B231" s="29" t="str">
        <f aca="false">B51</f>
        <v/>
      </c>
      <c r="I231" s="31" t="str">
        <f aca="false">IF(I171="","",IF(I171&lt;1,"",IF(I171&gt;D51,"",INDEX(I51:BP51,1,I171))))</f>
        <v/>
      </c>
      <c r="J231" s="31" t="str">
        <f aca="false">IF(J171="","",IF(J171&lt;1,"",IF(J171&gt;D51,"",INDEX(I51:BP51,1,J171))))</f>
        <v/>
      </c>
      <c r="K231" s="31" t="str">
        <f aca="false">IF(K171="","",IF(K171&lt;1,"",IF(K171&gt;D51,"",INDEX(I51:BP51,1,K171))))</f>
        <v/>
      </c>
      <c r="L231" s="31" t="str">
        <f aca="false">IF(L171="","",IF(L171&lt;1,"",IF(L171&gt;D51,"",INDEX(I51:BP51,1,L171))))</f>
        <v/>
      </c>
      <c r="M231" s="31" t="str">
        <f aca="false">IF(M171="","",IF(M171&lt;1,"",IF(M171&gt;D51,"",INDEX(I51:BP51,1,M171))))</f>
        <v/>
      </c>
      <c r="N231" s="31" t="str">
        <f aca="false">IF(N171="","",IF(N171&lt;1,"",IF(N171&gt;D51,"",INDEX(I51:BP51,1,N171))))</f>
        <v/>
      </c>
      <c r="O231" s="31" t="str">
        <f aca="false">IF(O171="","",IF(O171&lt;1,"",IF(O171&gt;D51,"",INDEX(I51:BP51,1,O171))))</f>
        <v/>
      </c>
      <c r="P231" s="31" t="str">
        <f aca="false">IF(P171="","",IF(P171&lt;1,"",IF(P171&gt;D51,"",INDEX(I51:BP51,1,P171))))</f>
        <v/>
      </c>
      <c r="Q231" s="31" t="str">
        <f aca="false">IF(Q171="","",IF(Q171&lt;1,"",IF(Q171&gt;D51,"",INDEX(I51:BP51,1,Q171))))</f>
        <v/>
      </c>
      <c r="R231" s="31" t="str">
        <f aca="false">IF(R171="","",IF(R171&lt;1,"",IF(R171&gt;D51,"",INDEX(I51:BP51,1,R171))))</f>
        <v/>
      </c>
      <c r="S231" s="31" t="str">
        <f aca="false">IF(S171="","",IF(S171&lt;1,"",IF(S171&gt;D51,"",INDEX(I51:BP51,1,S171))))</f>
        <v/>
      </c>
      <c r="T231" s="31" t="str">
        <f aca="false">IF(T171="","",IF(T171&lt;1,"",IF(T171&gt;D51,"",INDEX(I51:BP51,1,T171))))</f>
        <v/>
      </c>
    </row>
    <row r="232" customFormat="false" ht="15" hidden="false" customHeight="false" outlineLevel="0" collapsed="false">
      <c r="A232" s="29" t="str">
        <f aca="false">A52</f>
        <v/>
      </c>
      <c r="B232" s="29" t="str">
        <f aca="false">B52</f>
        <v/>
      </c>
      <c r="I232" s="31" t="str">
        <f aca="false">IF(I172="","",IF(I172&lt;1,"",IF(I172&gt;D52,"",INDEX(I52:BP52,1,I172))))</f>
        <v/>
      </c>
      <c r="J232" s="31" t="str">
        <f aca="false">IF(J172="","",IF(J172&lt;1,"",IF(J172&gt;D52,"",INDEX(I52:BP52,1,J172))))</f>
        <v/>
      </c>
      <c r="K232" s="31" t="str">
        <f aca="false">IF(K172="","",IF(K172&lt;1,"",IF(K172&gt;D52,"",INDEX(I52:BP52,1,K172))))</f>
        <v/>
      </c>
      <c r="L232" s="31" t="str">
        <f aca="false">IF(L172="","",IF(L172&lt;1,"",IF(L172&gt;D52,"",INDEX(I52:BP52,1,L172))))</f>
        <v/>
      </c>
      <c r="M232" s="31" t="str">
        <f aca="false">IF(M172="","",IF(M172&lt;1,"",IF(M172&gt;D52,"",INDEX(I52:BP52,1,M172))))</f>
        <v/>
      </c>
      <c r="N232" s="31" t="str">
        <f aca="false">IF(N172="","",IF(N172&lt;1,"",IF(N172&gt;D52,"",INDEX(I52:BP52,1,N172))))</f>
        <v/>
      </c>
      <c r="O232" s="31" t="str">
        <f aca="false">IF(O172="","",IF(O172&lt;1,"",IF(O172&gt;D52,"",INDEX(I52:BP52,1,O172))))</f>
        <v/>
      </c>
      <c r="P232" s="31" t="str">
        <f aca="false">IF(P172="","",IF(P172&lt;1,"",IF(P172&gt;D52,"",INDEX(I52:BP52,1,P172))))</f>
        <v/>
      </c>
      <c r="Q232" s="31" t="str">
        <f aca="false">IF(Q172="","",IF(Q172&lt;1,"",IF(Q172&gt;D52,"",INDEX(I52:BP52,1,Q172))))</f>
        <v/>
      </c>
      <c r="R232" s="31" t="str">
        <f aca="false">IF(R172="","",IF(R172&lt;1,"",IF(R172&gt;D52,"",INDEX(I52:BP52,1,R172))))</f>
        <v/>
      </c>
      <c r="S232" s="31" t="str">
        <f aca="false">IF(S172="","",IF(S172&lt;1,"",IF(S172&gt;D52,"",INDEX(I52:BP52,1,S172))))</f>
        <v/>
      </c>
      <c r="T232" s="31" t="str">
        <f aca="false">IF(T172="","",IF(T172&lt;1,"",IF(T172&gt;D52,"",INDEX(I52:BP52,1,T172))))</f>
        <v/>
      </c>
    </row>
    <row r="233" customFormat="false" ht="15" hidden="false" customHeight="false" outlineLevel="0" collapsed="false">
      <c r="A233" s="29" t="str">
        <f aca="false">A53</f>
        <v/>
      </c>
      <c r="B233" s="29" t="str">
        <f aca="false">B53</f>
        <v/>
      </c>
      <c r="I233" s="31" t="str">
        <f aca="false">IF(I173="","",IF(I173&lt;1,"",IF(I173&gt;D53,"",INDEX(I53:BP53,1,I173))))</f>
        <v/>
      </c>
      <c r="J233" s="31" t="str">
        <f aca="false">IF(J173="","",IF(J173&lt;1,"",IF(J173&gt;D53,"",INDEX(I53:BP53,1,J173))))</f>
        <v/>
      </c>
      <c r="K233" s="31" t="str">
        <f aca="false">IF(K173="","",IF(K173&lt;1,"",IF(K173&gt;D53,"",INDEX(I53:BP53,1,K173))))</f>
        <v/>
      </c>
      <c r="L233" s="31" t="str">
        <f aca="false">IF(L173="","",IF(L173&lt;1,"",IF(L173&gt;D53,"",INDEX(I53:BP53,1,L173))))</f>
        <v/>
      </c>
      <c r="M233" s="31" t="str">
        <f aca="false">IF(M173="","",IF(M173&lt;1,"",IF(M173&gt;D53,"",INDEX(I53:BP53,1,M173))))</f>
        <v/>
      </c>
      <c r="N233" s="31" t="str">
        <f aca="false">IF(N173="","",IF(N173&lt;1,"",IF(N173&gt;D53,"",INDEX(I53:BP53,1,N173))))</f>
        <v/>
      </c>
      <c r="O233" s="31" t="str">
        <f aca="false">IF(O173="","",IF(O173&lt;1,"",IF(O173&gt;D53,"",INDEX(I53:BP53,1,O173))))</f>
        <v/>
      </c>
      <c r="P233" s="31" t="str">
        <f aca="false">IF(P173="","",IF(P173&lt;1,"",IF(P173&gt;D53,"",INDEX(I53:BP53,1,P173))))</f>
        <v/>
      </c>
      <c r="Q233" s="31" t="str">
        <f aca="false">IF(Q173="","",IF(Q173&lt;1,"",IF(Q173&gt;D53,"",INDEX(I53:BP53,1,Q173))))</f>
        <v/>
      </c>
      <c r="R233" s="31" t="str">
        <f aca="false">IF(R173="","",IF(R173&lt;1,"",IF(R173&gt;D53,"",INDEX(I53:BP53,1,R173))))</f>
        <v/>
      </c>
      <c r="S233" s="31" t="str">
        <f aca="false">IF(S173="","",IF(S173&lt;1,"",IF(S173&gt;D53,"",INDEX(I53:BP53,1,S173))))</f>
        <v/>
      </c>
      <c r="T233" s="31" t="str">
        <f aca="false">IF(T173="","",IF(T173&lt;1,"",IF(T173&gt;D53,"",INDEX(I53:BP53,1,T173))))</f>
        <v/>
      </c>
    </row>
    <row r="234" customFormat="false" ht="15" hidden="false" customHeight="false" outlineLevel="0" collapsed="false">
      <c r="A234" s="29" t="str">
        <f aca="false">A54</f>
        <v/>
      </c>
      <c r="B234" s="29" t="str">
        <f aca="false">B54</f>
        <v/>
      </c>
      <c r="I234" s="31" t="str">
        <f aca="false">IF(I174="","",IF(I174&lt;1,"",IF(I174&gt;D54,"",INDEX(I54:BP54,1,I174))))</f>
        <v/>
      </c>
      <c r="J234" s="31" t="str">
        <f aca="false">IF(J174="","",IF(J174&lt;1,"",IF(J174&gt;D54,"",INDEX(I54:BP54,1,J174))))</f>
        <v/>
      </c>
      <c r="K234" s="31" t="str">
        <f aca="false">IF(K174="","",IF(K174&lt;1,"",IF(K174&gt;D54,"",INDEX(I54:BP54,1,K174))))</f>
        <v/>
      </c>
      <c r="L234" s="31" t="str">
        <f aca="false">IF(L174="","",IF(L174&lt;1,"",IF(L174&gt;D54,"",INDEX(I54:BP54,1,L174))))</f>
        <v/>
      </c>
      <c r="M234" s="31" t="str">
        <f aca="false">IF(M174="","",IF(M174&lt;1,"",IF(M174&gt;D54,"",INDEX(I54:BP54,1,M174))))</f>
        <v/>
      </c>
      <c r="N234" s="31" t="str">
        <f aca="false">IF(N174="","",IF(N174&lt;1,"",IF(N174&gt;D54,"",INDEX(I54:BP54,1,N174))))</f>
        <v/>
      </c>
      <c r="O234" s="31" t="str">
        <f aca="false">IF(O174="","",IF(O174&lt;1,"",IF(O174&gt;D54,"",INDEX(I54:BP54,1,O174))))</f>
        <v/>
      </c>
      <c r="P234" s="31" t="str">
        <f aca="false">IF(P174="","",IF(P174&lt;1,"",IF(P174&gt;D54,"",INDEX(I54:BP54,1,P174))))</f>
        <v/>
      </c>
      <c r="Q234" s="31" t="str">
        <f aca="false">IF(Q174="","",IF(Q174&lt;1,"",IF(Q174&gt;D54,"",INDEX(I54:BP54,1,Q174))))</f>
        <v/>
      </c>
      <c r="R234" s="31" t="str">
        <f aca="false">IF(R174="","",IF(R174&lt;1,"",IF(R174&gt;D54,"",INDEX(I54:BP54,1,R174))))</f>
        <v/>
      </c>
      <c r="S234" s="31" t="str">
        <f aca="false">IF(S174="","",IF(S174&lt;1,"",IF(S174&gt;D54,"",INDEX(I54:BP54,1,S174))))</f>
        <v/>
      </c>
      <c r="T234" s="31" t="str">
        <f aca="false">IF(T174="","",IF(T174&lt;1,"",IF(T174&gt;D54,"",INDEX(I54:BP54,1,T174))))</f>
        <v/>
      </c>
    </row>
    <row r="235" customFormat="false" ht="15" hidden="false" customHeight="false" outlineLevel="0" collapsed="false">
      <c r="A235" s="29" t="str">
        <f aca="false">A55</f>
        <v/>
      </c>
      <c r="B235" s="29" t="str">
        <f aca="false">B55</f>
        <v/>
      </c>
      <c r="I235" s="31" t="str">
        <f aca="false">IF(I175="","",IF(I175&lt;1,"",IF(I175&gt;D55,"",INDEX(I55:BP55,1,I175))))</f>
        <v/>
      </c>
      <c r="J235" s="31" t="str">
        <f aca="false">IF(J175="","",IF(J175&lt;1,"",IF(J175&gt;D55,"",INDEX(I55:BP55,1,J175))))</f>
        <v/>
      </c>
      <c r="K235" s="31" t="str">
        <f aca="false">IF(K175="","",IF(K175&lt;1,"",IF(K175&gt;D55,"",INDEX(I55:BP55,1,K175))))</f>
        <v/>
      </c>
      <c r="L235" s="31" t="str">
        <f aca="false">IF(L175="","",IF(L175&lt;1,"",IF(L175&gt;D55,"",INDEX(I55:BP55,1,L175))))</f>
        <v/>
      </c>
      <c r="M235" s="31" t="str">
        <f aca="false">IF(M175="","",IF(M175&lt;1,"",IF(M175&gt;D55,"",INDEX(I55:BP55,1,M175))))</f>
        <v/>
      </c>
      <c r="N235" s="31" t="str">
        <f aca="false">IF(N175="","",IF(N175&lt;1,"",IF(N175&gt;D55,"",INDEX(I55:BP55,1,N175))))</f>
        <v/>
      </c>
      <c r="O235" s="31" t="str">
        <f aca="false">IF(O175="","",IF(O175&lt;1,"",IF(O175&gt;D55,"",INDEX(I55:BP55,1,O175))))</f>
        <v/>
      </c>
      <c r="P235" s="31" t="str">
        <f aca="false">IF(P175="","",IF(P175&lt;1,"",IF(P175&gt;D55,"",INDEX(I55:BP55,1,P175))))</f>
        <v/>
      </c>
      <c r="Q235" s="31" t="str">
        <f aca="false">IF(Q175="","",IF(Q175&lt;1,"",IF(Q175&gt;D55,"",INDEX(I55:BP55,1,Q175))))</f>
        <v/>
      </c>
      <c r="R235" s="31" t="str">
        <f aca="false">IF(R175="","",IF(R175&lt;1,"",IF(R175&gt;D55,"",INDEX(I55:BP55,1,R175))))</f>
        <v/>
      </c>
      <c r="S235" s="31" t="str">
        <f aca="false">IF(S175="","",IF(S175&lt;1,"",IF(S175&gt;D55,"",INDEX(I55:BP55,1,S175))))</f>
        <v/>
      </c>
      <c r="T235" s="31" t="str">
        <f aca="false">IF(T175="","",IF(T175&lt;1,"",IF(T175&gt;D55,"",INDEX(I55:BP55,1,T175))))</f>
        <v/>
      </c>
    </row>
    <row r="236" customFormat="false" ht="15" hidden="false" customHeight="false" outlineLevel="0" collapsed="false">
      <c r="A236" s="29" t="str">
        <f aca="false">A56</f>
        <v/>
      </c>
      <c r="B236" s="29" t="str">
        <f aca="false">B56</f>
        <v/>
      </c>
      <c r="I236" s="31" t="str">
        <f aca="false">IF(I176="","",IF(I176&lt;1,"",IF(I176&gt;D56,"",INDEX(I56:BP56,1,I176))))</f>
        <v/>
      </c>
      <c r="J236" s="31" t="str">
        <f aca="false">IF(J176="","",IF(J176&lt;1,"",IF(J176&gt;D56,"",INDEX(I56:BP56,1,J176))))</f>
        <v/>
      </c>
      <c r="K236" s="31" t="str">
        <f aca="false">IF(K176="","",IF(K176&lt;1,"",IF(K176&gt;D56,"",INDEX(I56:BP56,1,K176))))</f>
        <v/>
      </c>
      <c r="L236" s="31" t="str">
        <f aca="false">IF(L176="","",IF(L176&lt;1,"",IF(L176&gt;D56,"",INDEX(I56:BP56,1,L176))))</f>
        <v/>
      </c>
      <c r="M236" s="31" t="str">
        <f aca="false">IF(M176="","",IF(M176&lt;1,"",IF(M176&gt;D56,"",INDEX(I56:BP56,1,M176))))</f>
        <v/>
      </c>
      <c r="N236" s="31" t="str">
        <f aca="false">IF(N176="","",IF(N176&lt;1,"",IF(N176&gt;D56,"",INDEX(I56:BP56,1,N176))))</f>
        <v/>
      </c>
      <c r="O236" s="31" t="str">
        <f aca="false">IF(O176="","",IF(O176&lt;1,"",IF(O176&gt;D56,"",INDEX(I56:BP56,1,O176))))</f>
        <v/>
      </c>
      <c r="P236" s="31" t="str">
        <f aca="false">IF(P176="","",IF(P176&lt;1,"",IF(P176&gt;D56,"",INDEX(I56:BP56,1,P176))))</f>
        <v/>
      </c>
      <c r="Q236" s="31" t="str">
        <f aca="false">IF(Q176="","",IF(Q176&lt;1,"",IF(Q176&gt;D56,"",INDEX(I56:BP56,1,Q176))))</f>
        <v/>
      </c>
      <c r="R236" s="31" t="str">
        <f aca="false">IF(R176="","",IF(R176&lt;1,"",IF(R176&gt;D56,"",INDEX(I56:BP56,1,R176))))</f>
        <v/>
      </c>
      <c r="S236" s="31" t="str">
        <f aca="false">IF(S176="","",IF(S176&lt;1,"",IF(S176&gt;D56,"",INDEX(I56:BP56,1,S176))))</f>
        <v/>
      </c>
      <c r="T236" s="31" t="str">
        <f aca="false">IF(T176="","",IF(T176&lt;1,"",IF(T176&gt;D56,"",INDEX(I56:BP56,1,T176))))</f>
        <v/>
      </c>
    </row>
    <row r="237" customFormat="false" ht="15" hidden="false" customHeight="false" outlineLevel="0" collapsed="false">
      <c r="A237" s="29" t="str">
        <f aca="false">A57</f>
        <v/>
      </c>
      <c r="B237" s="29" t="str">
        <f aca="false">B57</f>
        <v/>
      </c>
      <c r="I237" s="31" t="str">
        <f aca="false">IF(I177="","",IF(I177&lt;1,"",IF(I177&gt;D57,"",INDEX(I57:BP57,1,I177))))</f>
        <v/>
      </c>
      <c r="J237" s="31" t="str">
        <f aca="false">IF(J177="","",IF(J177&lt;1,"",IF(J177&gt;D57,"",INDEX(I57:BP57,1,J177))))</f>
        <v/>
      </c>
      <c r="K237" s="31" t="str">
        <f aca="false">IF(K177="","",IF(K177&lt;1,"",IF(K177&gt;D57,"",INDEX(I57:BP57,1,K177))))</f>
        <v/>
      </c>
      <c r="L237" s="31" t="str">
        <f aca="false">IF(L177="","",IF(L177&lt;1,"",IF(L177&gt;D57,"",INDEX(I57:BP57,1,L177))))</f>
        <v/>
      </c>
      <c r="M237" s="31" t="str">
        <f aca="false">IF(M177="","",IF(M177&lt;1,"",IF(M177&gt;D57,"",INDEX(I57:BP57,1,M177))))</f>
        <v/>
      </c>
      <c r="N237" s="31" t="str">
        <f aca="false">IF(N177="","",IF(N177&lt;1,"",IF(N177&gt;D57,"",INDEX(I57:BP57,1,N177))))</f>
        <v/>
      </c>
      <c r="O237" s="31" t="str">
        <f aca="false">IF(O177="","",IF(O177&lt;1,"",IF(O177&gt;D57,"",INDEX(I57:BP57,1,O177))))</f>
        <v/>
      </c>
      <c r="P237" s="31" t="str">
        <f aca="false">IF(P177="","",IF(P177&lt;1,"",IF(P177&gt;D57,"",INDEX(I57:BP57,1,P177))))</f>
        <v/>
      </c>
      <c r="Q237" s="31" t="str">
        <f aca="false">IF(Q177="","",IF(Q177&lt;1,"",IF(Q177&gt;D57,"",INDEX(I57:BP57,1,Q177))))</f>
        <v/>
      </c>
      <c r="R237" s="31" t="str">
        <f aca="false">IF(R177="","",IF(R177&lt;1,"",IF(R177&gt;D57,"",INDEX(I57:BP57,1,R177))))</f>
        <v/>
      </c>
      <c r="S237" s="31" t="str">
        <f aca="false">IF(S177="","",IF(S177&lt;1,"",IF(S177&gt;D57,"",INDEX(I57:BP57,1,S177))))</f>
        <v/>
      </c>
      <c r="T237" s="31" t="str">
        <f aca="false">IF(T177="","",IF(T177&lt;1,"",IF(T177&gt;D57,"",INDEX(I57:BP57,1,T177))))</f>
        <v/>
      </c>
    </row>
    <row r="238" customFormat="false" ht="15" hidden="false" customHeight="false" outlineLevel="0" collapsed="false">
      <c r="A238" s="29" t="str">
        <f aca="false">A58</f>
        <v/>
      </c>
      <c r="B238" s="29" t="str">
        <f aca="false">B58</f>
        <v/>
      </c>
      <c r="I238" s="31" t="str">
        <f aca="false">IF(I178="","",IF(I178&lt;1,"",IF(I178&gt;D58,"",INDEX(I58:BP58,1,I178))))</f>
        <v/>
      </c>
      <c r="J238" s="31" t="str">
        <f aca="false">IF(J178="","",IF(J178&lt;1,"",IF(J178&gt;D58,"",INDEX(I58:BP58,1,J178))))</f>
        <v/>
      </c>
      <c r="K238" s="31" t="str">
        <f aca="false">IF(K178="","",IF(K178&lt;1,"",IF(K178&gt;D58,"",INDEX(I58:BP58,1,K178))))</f>
        <v/>
      </c>
      <c r="L238" s="31" t="str">
        <f aca="false">IF(L178="","",IF(L178&lt;1,"",IF(L178&gt;D58,"",INDEX(I58:BP58,1,L178))))</f>
        <v/>
      </c>
      <c r="M238" s="31" t="str">
        <f aca="false">IF(M178="","",IF(M178&lt;1,"",IF(M178&gt;D58,"",INDEX(I58:BP58,1,M178))))</f>
        <v/>
      </c>
      <c r="N238" s="31" t="str">
        <f aca="false">IF(N178="","",IF(N178&lt;1,"",IF(N178&gt;D58,"",INDEX(I58:BP58,1,N178))))</f>
        <v/>
      </c>
      <c r="O238" s="31" t="str">
        <f aca="false">IF(O178="","",IF(O178&lt;1,"",IF(O178&gt;D58,"",INDEX(I58:BP58,1,O178))))</f>
        <v/>
      </c>
      <c r="P238" s="31" t="str">
        <f aca="false">IF(P178="","",IF(P178&lt;1,"",IF(P178&gt;D58,"",INDEX(I58:BP58,1,P178))))</f>
        <v/>
      </c>
      <c r="Q238" s="31" t="str">
        <f aca="false">IF(Q178="","",IF(Q178&lt;1,"",IF(Q178&gt;D58,"",INDEX(I58:BP58,1,Q178))))</f>
        <v/>
      </c>
      <c r="R238" s="31" t="str">
        <f aca="false">IF(R178="","",IF(R178&lt;1,"",IF(R178&gt;D58,"",INDEX(I58:BP58,1,R178))))</f>
        <v/>
      </c>
      <c r="S238" s="31" t="str">
        <f aca="false">IF(S178="","",IF(S178&lt;1,"",IF(S178&gt;D58,"",INDEX(I58:BP58,1,S178))))</f>
        <v/>
      </c>
      <c r="T238" s="31" t="str">
        <f aca="false">IF(T178="","",IF(T178&lt;1,"",IF(T178&gt;D58,"",INDEX(I58:BP58,1,T178))))</f>
        <v/>
      </c>
    </row>
    <row r="239" customFormat="false" ht="15" hidden="false" customHeight="false" outlineLevel="0" collapsed="false">
      <c r="A239" s="29" t="str">
        <f aca="false">A59</f>
        <v/>
      </c>
      <c r="B239" s="29" t="str">
        <f aca="false">B59</f>
        <v/>
      </c>
      <c r="I239" s="31" t="str">
        <f aca="false">IF(I179="","",IF(I179&lt;1,"",IF(I179&gt;D59,"",INDEX(I59:BP59,1,I179))))</f>
        <v/>
      </c>
      <c r="J239" s="31" t="str">
        <f aca="false">IF(J179="","",IF(J179&lt;1,"",IF(J179&gt;D59,"",INDEX(I59:BP59,1,J179))))</f>
        <v/>
      </c>
      <c r="K239" s="31" t="str">
        <f aca="false">IF(K179="","",IF(K179&lt;1,"",IF(K179&gt;D59,"",INDEX(I59:BP59,1,K179))))</f>
        <v/>
      </c>
      <c r="L239" s="31" t="str">
        <f aca="false">IF(L179="","",IF(L179&lt;1,"",IF(L179&gt;D59,"",INDEX(I59:BP59,1,L179))))</f>
        <v/>
      </c>
      <c r="M239" s="31" t="str">
        <f aca="false">IF(M179="","",IF(M179&lt;1,"",IF(M179&gt;D59,"",INDEX(I59:BP59,1,M179))))</f>
        <v/>
      </c>
      <c r="N239" s="31" t="str">
        <f aca="false">IF(N179="","",IF(N179&lt;1,"",IF(N179&gt;D59,"",INDEX(I59:BP59,1,N179))))</f>
        <v/>
      </c>
      <c r="O239" s="31" t="str">
        <f aca="false">IF(O179="","",IF(O179&lt;1,"",IF(O179&gt;D59,"",INDEX(I59:BP59,1,O179))))</f>
        <v/>
      </c>
      <c r="P239" s="31" t="str">
        <f aca="false">IF(P179="","",IF(P179&lt;1,"",IF(P179&gt;D59,"",INDEX(I59:BP59,1,P179))))</f>
        <v/>
      </c>
      <c r="Q239" s="31" t="str">
        <f aca="false">IF(Q179="","",IF(Q179&lt;1,"",IF(Q179&gt;D59,"",INDEX(I59:BP59,1,Q179))))</f>
        <v/>
      </c>
      <c r="R239" s="31" t="str">
        <f aca="false">IF(R179="","",IF(R179&lt;1,"",IF(R179&gt;D59,"",INDEX(I59:BP59,1,R179))))</f>
        <v/>
      </c>
      <c r="S239" s="31" t="str">
        <f aca="false">IF(S179="","",IF(S179&lt;1,"",IF(S179&gt;D59,"",INDEX(I59:BP59,1,S179))))</f>
        <v/>
      </c>
      <c r="T239" s="31" t="str">
        <f aca="false">IF(T179="","",IF(T179&lt;1,"",IF(T179&gt;D59,"",INDEX(I59:BP59,1,T179))))</f>
        <v/>
      </c>
    </row>
    <row r="240" customFormat="false" ht="15" hidden="false" customHeight="false" outlineLevel="0" collapsed="false">
      <c r="A240" s="29" t="str">
        <f aca="false">A60</f>
        <v/>
      </c>
      <c r="B240" s="29" t="str">
        <f aca="false">B60</f>
        <v/>
      </c>
      <c r="I240" s="31" t="str">
        <f aca="false">IF(I180="","",IF(I180&lt;1,"",IF(I180&gt;D60,"",INDEX(I60:BP60,1,I180))))</f>
        <v/>
      </c>
      <c r="J240" s="31" t="str">
        <f aca="false">IF(J180="","",IF(J180&lt;1,"",IF(J180&gt;D60,"",INDEX(I60:BP60,1,J180))))</f>
        <v/>
      </c>
      <c r="K240" s="31" t="str">
        <f aca="false">IF(K180="","",IF(K180&lt;1,"",IF(K180&gt;D60,"",INDEX(I60:BP60,1,K180))))</f>
        <v/>
      </c>
      <c r="L240" s="31" t="str">
        <f aca="false">IF(L180="","",IF(L180&lt;1,"",IF(L180&gt;D60,"",INDEX(I60:BP60,1,L180))))</f>
        <v/>
      </c>
      <c r="M240" s="31" t="str">
        <f aca="false">IF(M180="","",IF(M180&lt;1,"",IF(M180&gt;D60,"",INDEX(I60:BP60,1,M180))))</f>
        <v/>
      </c>
      <c r="N240" s="31" t="str">
        <f aca="false">IF(N180="","",IF(N180&lt;1,"",IF(N180&gt;D60,"",INDEX(I60:BP60,1,N180))))</f>
        <v/>
      </c>
      <c r="O240" s="31" t="str">
        <f aca="false">IF(O180="","",IF(O180&lt;1,"",IF(O180&gt;D60,"",INDEX(I60:BP60,1,O180))))</f>
        <v/>
      </c>
      <c r="P240" s="31" t="str">
        <f aca="false">IF(P180="","",IF(P180&lt;1,"",IF(P180&gt;D60,"",INDEX(I60:BP60,1,P180))))</f>
        <v/>
      </c>
      <c r="Q240" s="31" t="str">
        <f aca="false">IF(Q180="","",IF(Q180&lt;1,"",IF(Q180&gt;D60,"",INDEX(I60:BP60,1,Q180))))</f>
        <v/>
      </c>
      <c r="R240" s="31" t="str">
        <f aca="false">IF(R180="","",IF(R180&lt;1,"",IF(R180&gt;D60,"",INDEX(I60:BP60,1,R180))))</f>
        <v/>
      </c>
      <c r="S240" s="31" t="str">
        <f aca="false">IF(S180="","",IF(S180&lt;1,"",IF(S180&gt;D60,"",INDEX(I60:BP60,1,S180))))</f>
        <v/>
      </c>
      <c r="T240" s="31" t="str">
        <f aca="false">IF(T180="","",IF(T180&lt;1,"",IF(T180&gt;D60,"",INDEX(I60:BP60,1,T180))))</f>
        <v/>
      </c>
    </row>
    <row r="241" customFormat="false" ht="15" hidden="false" customHeight="false" outlineLevel="0" collapsed="false">
      <c r="A241" s="29" t="str">
        <f aca="false">A61</f>
        <v/>
      </c>
      <c r="B241" s="29" t="str">
        <f aca="false">B61</f>
        <v/>
      </c>
      <c r="I241" s="31" t="str">
        <f aca="false">IF(I181="","",IF(I181&lt;1,"",IF(I181&gt;D61,"",INDEX(I61:BP61,1,I181))))</f>
        <v/>
      </c>
      <c r="J241" s="31" t="str">
        <f aca="false">IF(J181="","",IF(J181&lt;1,"",IF(J181&gt;D61,"",INDEX(I61:BP61,1,J181))))</f>
        <v/>
      </c>
      <c r="K241" s="31" t="str">
        <f aca="false">IF(K181="","",IF(K181&lt;1,"",IF(K181&gt;D61,"",INDEX(I61:BP61,1,K181))))</f>
        <v/>
      </c>
      <c r="L241" s="31" t="str">
        <f aca="false">IF(L181="","",IF(L181&lt;1,"",IF(L181&gt;D61,"",INDEX(I61:BP61,1,L181))))</f>
        <v/>
      </c>
      <c r="M241" s="31" t="str">
        <f aca="false">IF(M181="","",IF(M181&lt;1,"",IF(M181&gt;D61,"",INDEX(I61:BP61,1,M181))))</f>
        <v/>
      </c>
      <c r="N241" s="31" t="str">
        <f aca="false">IF(N181="","",IF(N181&lt;1,"",IF(N181&gt;D61,"",INDEX(I61:BP61,1,N181))))</f>
        <v/>
      </c>
      <c r="O241" s="31" t="str">
        <f aca="false">IF(O181="","",IF(O181&lt;1,"",IF(O181&gt;D61,"",INDEX(I61:BP61,1,O181))))</f>
        <v/>
      </c>
      <c r="P241" s="31" t="str">
        <f aca="false">IF(P181="","",IF(P181&lt;1,"",IF(P181&gt;D61,"",INDEX(I61:BP61,1,P181))))</f>
        <v/>
      </c>
      <c r="Q241" s="31" t="str">
        <f aca="false">IF(Q181="","",IF(Q181&lt;1,"",IF(Q181&gt;D61,"",INDEX(I61:BP61,1,Q181))))</f>
        <v/>
      </c>
      <c r="R241" s="31" t="str">
        <f aca="false">IF(R181="","",IF(R181&lt;1,"",IF(R181&gt;D61,"",INDEX(I61:BP61,1,R181))))</f>
        <v/>
      </c>
      <c r="S241" s="31" t="str">
        <f aca="false">IF(S181="","",IF(S181&lt;1,"",IF(S181&gt;D61,"",INDEX(I61:BP61,1,S181))))</f>
        <v/>
      </c>
      <c r="T241" s="31" t="str">
        <f aca="false">IF(T181="","",IF(T181&lt;1,"",IF(T181&gt;D61,"",INDEX(I61:BP61,1,T181))))</f>
        <v/>
      </c>
    </row>
    <row r="242" customFormat="false" ht="15" hidden="false" customHeight="false" outlineLevel="0" collapsed="false">
      <c r="A242" s="19" t="s">
        <v>43</v>
      </c>
      <c r="I242" s="32" t="n">
        <f aca="false">SUM(I192:I241)</f>
        <v>15.3632540118027</v>
      </c>
      <c r="J242" s="32" t="n">
        <f aca="false">SUM(J192:J241)</f>
        <v>15.1015029307835</v>
      </c>
      <c r="K242" s="32" t="n">
        <f aca="false">SUM(K192:K241)</f>
        <v>14.839642786814</v>
      </c>
      <c r="L242" s="32" t="n">
        <f aca="false">SUM(L192:L241)</f>
        <v>14.5776735344511</v>
      </c>
      <c r="M242" s="32" t="n">
        <f aca="false">SUM(M192:M241)</f>
        <v>14.315595128233</v>
      </c>
      <c r="N242" s="32" t="n">
        <f aca="false">SUM(N192:N241)</f>
        <v>14.0534075226791</v>
      </c>
      <c r="O242" s="32" t="n">
        <f aca="false">SUM(O192:O241)</f>
        <v>13.7911106722894</v>
      </c>
      <c r="P242" s="32" t="n">
        <f aca="false">SUM(P192:P241)</f>
        <v>13.5287045315455</v>
      </c>
      <c r="Q242" s="32" t="n">
        <f aca="false">SUM(Q192:Q241)</f>
        <v>13.2661890549096</v>
      </c>
      <c r="R242" s="32" t="n">
        <f aca="false">SUM(R192:R241)</f>
        <v>13.0035641968251</v>
      </c>
      <c r="S242" s="32" t="n">
        <f aca="false">SUM(S192:S241)</f>
        <v>12.7408299117163</v>
      </c>
      <c r="T242" s="32" t="n">
        <f aca="false">SUM(T192:T241)</f>
        <v>12.4779861539888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3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9"/>
  </cols>
  <sheetData>
    <row r="1" customFormat="false" ht="19.7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19" t="s">
        <v>78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19" t="s">
        <v>79</v>
      </c>
      <c r="B4" s="33"/>
      <c r="C4" s="33"/>
      <c r="D4" s="33"/>
      <c r="E4" s="33"/>
      <c r="F4" s="33"/>
    </row>
    <row r="5" customFormat="false" ht="15" hidden="false" customHeight="false" outlineLevel="0" collapsed="false">
      <c r="A5" s="19" t="s">
        <v>80</v>
      </c>
      <c r="B5" s="34"/>
      <c r="C5" s="34"/>
      <c r="D5" s="34"/>
      <c r="E5" s="34"/>
      <c r="F5" s="34"/>
    </row>
    <row r="6" customFormat="false" ht="15" hidden="false" customHeight="false" outlineLevel="0" collapsed="false">
      <c r="A6" s="35" t="s">
        <v>81</v>
      </c>
      <c r="B6" s="33"/>
      <c r="C6" s="33"/>
      <c r="D6" s="33"/>
      <c r="E6" s="33"/>
      <c r="F6" s="33"/>
    </row>
    <row r="7" customFormat="false" ht="15" hidden="false" customHeight="false" outlineLevel="0" collapsed="false">
      <c r="B7" s="33"/>
      <c r="C7" s="33"/>
      <c r="D7" s="33"/>
      <c r="E7" s="33"/>
      <c r="F7" s="33"/>
    </row>
    <row r="8" customFormat="false" ht="15" hidden="false" customHeight="false" outlineLevel="0" collapsed="false">
      <c r="A8" s="19" t="s">
        <v>82</v>
      </c>
      <c r="B8" s="34" t="n">
        <v>46296</v>
      </c>
      <c r="C8" s="2" t="s">
        <v>83</v>
      </c>
    </row>
    <row r="10" customFormat="false" ht="15" hidden="false" customHeight="false" outlineLevel="0" collapsed="false">
      <c r="A10" s="36" t="s">
        <v>84</v>
      </c>
      <c r="B10" s="37" t="n">
        <f aca="false">B8</f>
        <v>46296</v>
      </c>
    </row>
    <row r="12" customFormat="false" ht="15" hidden="false" customHeight="false" outlineLevel="0" collapsed="false">
      <c r="A12" s="28" t="s">
        <v>85</v>
      </c>
      <c r="C12" s="38" t="s">
        <v>86</v>
      </c>
      <c r="E12" s="38" t="s">
        <v>87</v>
      </c>
      <c r="H12" s="28" t="s">
        <v>88</v>
      </c>
    </row>
    <row r="13" customFormat="false" ht="15" hidden="false" customHeight="false" outlineLevel="0" collapsed="false">
      <c r="A13" s="36" t="s">
        <v>89</v>
      </c>
      <c r="C13" s="32" t="n">
        <f aca="false">SUM(C17:C66)</f>
        <v>0</v>
      </c>
      <c r="E13" s="32" t="n">
        <f aca="false">SUM(E17:E66)</f>
        <v>15.3632540118027</v>
      </c>
      <c r="H13" s="39" t="n">
        <f aca="false">SUM(N17:N66)</f>
        <v>1</v>
      </c>
      <c r="I13" s="2" t="s">
        <v>90</v>
      </c>
    </row>
    <row r="14" customFormat="false" ht="15" hidden="false" customHeight="false" outlineLevel="0" collapsed="false">
      <c r="A14" s="28" t="s">
        <v>91</v>
      </c>
      <c r="F14" s="40" t="n">
        <f aca="false">C13+E13</f>
        <v>15.3632540118027</v>
      </c>
    </row>
    <row r="16" customFormat="false" ht="31.5" hidden="false" customHeight="true" outlineLevel="0" collapsed="false">
      <c r="A16" s="10" t="s">
        <v>70</v>
      </c>
      <c r="B16" s="10" t="s">
        <v>13</v>
      </c>
      <c r="C16" s="10" t="s">
        <v>86</v>
      </c>
      <c r="D16" s="10" t="s">
        <v>92</v>
      </c>
      <c r="E16" s="10" t="s">
        <v>63</v>
      </c>
      <c r="F16" s="10" t="s">
        <v>93</v>
      </c>
      <c r="H16" s="10" t="s">
        <v>94</v>
      </c>
      <c r="I16" s="10" t="s">
        <v>13</v>
      </c>
      <c r="J16" s="10" t="s">
        <v>95</v>
      </c>
      <c r="K16" s="10" t="s">
        <v>96</v>
      </c>
      <c r="L16" s="10" t="s">
        <v>97</v>
      </c>
      <c r="M16" s="10" t="s">
        <v>63</v>
      </c>
      <c r="N16" s="10" t="s">
        <v>98</v>
      </c>
      <c r="O16" s="10" t="s">
        <v>99</v>
      </c>
      <c r="P16" s="10" t="s">
        <v>100</v>
      </c>
    </row>
    <row r="17" customFormat="false" ht="15" hidden="false" customHeight="false" outlineLevel="0" collapsed="false">
      <c r="A17" s="5" t="str">
        <f aca="false">IF(P17="","",INDEX(Loans!B12:B61,P17))</f>
        <v>SAMPLE Client A (replace)</v>
      </c>
      <c r="B17" s="41" t="n">
        <f aca="false">IF(P17="","",INDEX(I17:I66,P17))</f>
        <v>1</v>
      </c>
      <c r="C17" s="42" t="n">
        <f aca="false">IF(P17="","",INDEX(J17:J66,P17))</f>
        <v>0</v>
      </c>
      <c r="D17" s="41" t="n">
        <f aca="false">IF(P17="","",INDEX(L17:L66,P17))</f>
        <v>3</v>
      </c>
      <c r="E17" s="42" t="n">
        <f aca="false">IF(P17="","",INDEX(M17:M66,P17))</f>
        <v>15.3632540118027</v>
      </c>
      <c r="F17" s="43" t="n">
        <f aca="false">IF(P17="","",SUM(C17,E17))</f>
        <v>15.3632540118027</v>
      </c>
      <c r="H17" s="16" t="n">
        <v>1</v>
      </c>
      <c r="I17" s="16" t="n">
        <f aca="false">IF(Loans!A12="","",Loans!A12)</f>
        <v>1</v>
      </c>
      <c r="J17" s="31" t="n">
        <f aca="false">IF(AND(Loans!C12="Closed",YEAR(Loans!D12)=YEAR(B8),MONTH(Loans!D12)=MONTH(B8)),SUM(Loans!M12,Loans!N12),0)</f>
        <v>0</v>
      </c>
      <c r="K17" s="16" t="n">
        <f aca="false">IF(OR(Loans!C12&lt;&gt;"Closed",Loans!E12=""),"",(YEAR(B8)-YEAR(Loans!E12))*12+MONTH(B8)-MONTH(Loans!E12)+1)</f>
        <v>3</v>
      </c>
      <c r="L17" s="16" t="n">
        <f aca="false">IF(K17="","",IF(AND(K17&gt;=1,K17&lt;=Loans!I12),K17,""))</f>
        <v>3</v>
      </c>
      <c r="M17" s="15" t="n">
        <f aca="false">IF(L17="","",INDEX('Referral Fees'!I12:BP12,1,L17))</f>
        <v>15.3632540118027</v>
      </c>
      <c r="N17" s="16" t="n">
        <f aca="false">IF(OR(J17&gt;0,L17&lt;&gt;""),1,0)</f>
        <v>1</v>
      </c>
      <c r="O17" s="16" t="n">
        <f aca="false">IF(N17=1,SUM(N17:N17),"")</f>
        <v>1</v>
      </c>
      <c r="P17" s="16" t="n">
        <f aca="false">IF(H17&gt;H13,"",MATCH(H17,O17:O66,0))</f>
        <v>1</v>
      </c>
    </row>
    <row r="18" customFormat="false" ht="15" hidden="false" customHeight="false" outlineLevel="0" collapsed="false">
      <c r="A18" s="5" t="str">
        <f aca="false">IF(P18="","",INDEX(Loans!B12:B61,P18))</f>
        <v/>
      </c>
      <c r="B18" s="41" t="str">
        <f aca="false">IF(P18="","",INDEX(I17:I66,P18))</f>
        <v/>
      </c>
      <c r="C18" s="42" t="str">
        <f aca="false">IF(P18="","",INDEX(J17:J66,P18))</f>
        <v/>
      </c>
      <c r="D18" s="41" t="str">
        <f aca="false">IF(P18="","",INDEX(L17:L66,P18))</f>
        <v/>
      </c>
      <c r="E18" s="42" t="str">
        <f aca="false">IF(P18="","",INDEX(M17:M66,P18))</f>
        <v/>
      </c>
      <c r="F18" s="43" t="str">
        <f aca="false">IF(P18="","",SUM(C18,E18))</f>
        <v/>
      </c>
      <c r="H18" s="16" t="n">
        <v>2</v>
      </c>
      <c r="I18" s="16" t="n">
        <f aca="false">IF(Loans!A13="","",Loans!A13)</f>
        <v>2</v>
      </c>
      <c r="J18" s="31" t="n">
        <f aca="false">IF(AND(Loans!C13="Closed",YEAR(Loans!D13)=YEAR(B8),MONTH(Loans!D13)=MONTH(B8)),SUM(Loans!M13,Loans!N13),0)</f>
        <v>0</v>
      </c>
      <c r="K18" s="16" t="str">
        <f aca="false">IF(OR(Loans!C13&lt;&gt;"Closed",Loans!E13=""),"",(YEAR(B8)-YEAR(Loans!E13))*12+MONTH(B8)-MONTH(Loans!E13)+1)</f>
        <v/>
      </c>
      <c r="L18" s="16" t="str">
        <f aca="false">IF(K18="","",IF(AND(K18&gt;=1,K18&lt;=Loans!I13),K18,""))</f>
        <v/>
      </c>
      <c r="M18" s="15" t="str">
        <f aca="false">IF(L18="","",INDEX('Referral Fees'!I13:BP13,1,L18))</f>
        <v/>
      </c>
      <c r="N18" s="16" t="n">
        <f aca="false">IF(OR(J18&gt;0,L18&lt;&gt;""),1,0)</f>
        <v>0</v>
      </c>
      <c r="O18" s="16" t="str">
        <f aca="false">IF(N18=1,SUM(N17:N18),"")</f>
        <v/>
      </c>
      <c r="P18" s="16" t="str">
        <f aca="false">IF(H18&gt;H13,"",MATCH(H18,O17:O66,0))</f>
        <v/>
      </c>
    </row>
    <row r="19" customFormat="false" ht="15" hidden="false" customHeight="false" outlineLevel="0" collapsed="false">
      <c r="A19" s="5" t="str">
        <f aca="false">IF(P19="","",INDEX(Loans!B12:B61,P19))</f>
        <v/>
      </c>
      <c r="B19" s="41" t="str">
        <f aca="false">IF(P19="","",INDEX(I17:I66,P19))</f>
        <v/>
      </c>
      <c r="C19" s="42" t="str">
        <f aca="false">IF(P19="","",INDEX(J17:J66,P19))</f>
        <v/>
      </c>
      <c r="D19" s="41" t="str">
        <f aca="false">IF(P19="","",INDEX(L17:L66,P19))</f>
        <v/>
      </c>
      <c r="E19" s="42" t="str">
        <f aca="false">IF(P19="","",INDEX(M17:M66,P19))</f>
        <v/>
      </c>
      <c r="F19" s="43" t="str">
        <f aca="false">IF(P19="","",SUM(C19,E19))</f>
        <v/>
      </c>
      <c r="H19" s="16" t="n">
        <v>3</v>
      </c>
      <c r="I19" s="16" t="n">
        <f aca="false">IF(Loans!A14="","",Loans!A14)</f>
        <v>3</v>
      </c>
      <c r="J19" s="31" t="n">
        <f aca="false">IF(AND(Loans!C14="Closed",YEAR(Loans!D14)=YEAR(B8),MONTH(Loans!D14)=MONTH(B8)),SUM(Loans!M14,Loans!N14),0)</f>
        <v>0</v>
      </c>
      <c r="K19" s="16" t="str">
        <f aca="false">IF(OR(Loans!C14&lt;&gt;"Closed",Loans!E14=""),"",(YEAR(B8)-YEAR(Loans!E14))*12+MONTH(B8)-MONTH(Loans!E14)+1)</f>
        <v/>
      </c>
      <c r="L19" s="16" t="str">
        <f aca="false">IF(K19="","",IF(AND(K19&gt;=1,K19&lt;=Loans!I14),K19,""))</f>
        <v/>
      </c>
      <c r="M19" s="15" t="str">
        <f aca="false">IF(L19="","",INDEX('Referral Fees'!I14:BP14,1,L19))</f>
        <v/>
      </c>
      <c r="N19" s="16" t="n">
        <f aca="false">IF(OR(J19&gt;0,L19&lt;&gt;""),1,0)</f>
        <v>0</v>
      </c>
      <c r="O19" s="16" t="str">
        <f aca="false">IF(N19=1,SUM(N17:N19),"")</f>
        <v/>
      </c>
      <c r="P19" s="16" t="str">
        <f aca="false">IF(H19&gt;H13,"",MATCH(H19,O17:O66,0))</f>
        <v/>
      </c>
    </row>
    <row r="20" customFormat="false" ht="15" hidden="false" customHeight="false" outlineLevel="0" collapsed="false">
      <c r="A20" s="5" t="str">
        <f aca="false">IF(P20="","",INDEX(Loans!B12:B61,P20))</f>
        <v/>
      </c>
      <c r="B20" s="41" t="str">
        <f aca="false">IF(P20="","",INDEX(I17:I66,P20))</f>
        <v/>
      </c>
      <c r="C20" s="42" t="str">
        <f aca="false">IF(P20="","",INDEX(J17:J66,P20))</f>
        <v/>
      </c>
      <c r="D20" s="41" t="str">
        <f aca="false">IF(P20="","",INDEX(L17:L66,P20))</f>
        <v/>
      </c>
      <c r="E20" s="42" t="str">
        <f aca="false">IF(P20="","",INDEX(M17:M66,P20))</f>
        <v/>
      </c>
      <c r="F20" s="43" t="str">
        <f aca="false">IF(P20="","",SUM(C20,E20))</f>
        <v/>
      </c>
      <c r="H20" s="16" t="n">
        <v>4</v>
      </c>
      <c r="I20" s="16" t="str">
        <f aca="false">IF(Loans!A15="","",Loans!A15)</f>
        <v/>
      </c>
      <c r="J20" s="31" t="n">
        <f aca="false">IF(AND(Loans!C15="Closed",YEAR(Loans!D15)=YEAR(B8),MONTH(Loans!D15)=MONTH(B8)),SUM(Loans!M15,Loans!N15),0)</f>
        <v>0</v>
      </c>
      <c r="K20" s="16" t="str">
        <f aca="false">IF(OR(Loans!C15&lt;&gt;"Closed",Loans!E15=""),"",(YEAR(B8)-YEAR(Loans!E15))*12+MONTH(B8)-MONTH(Loans!E15)+1)</f>
        <v/>
      </c>
      <c r="L20" s="16" t="str">
        <f aca="false">IF(K20="","",IF(AND(K20&gt;=1,K20&lt;=Loans!I15),K20,""))</f>
        <v/>
      </c>
      <c r="M20" s="15" t="str">
        <f aca="false">IF(L20="","",INDEX('Referral Fees'!I15:BP15,1,L20))</f>
        <v/>
      </c>
      <c r="N20" s="16" t="n">
        <f aca="false">IF(OR(J20&gt;0,L20&lt;&gt;""),1,0)</f>
        <v>0</v>
      </c>
      <c r="O20" s="16" t="str">
        <f aca="false">IF(N20=1,SUM(N17:N20),"")</f>
        <v/>
      </c>
      <c r="P20" s="16" t="str">
        <f aca="false">IF(H20&gt;H13,"",MATCH(H20,O17:O66,0))</f>
        <v/>
      </c>
    </row>
    <row r="21" customFormat="false" ht="15" hidden="false" customHeight="false" outlineLevel="0" collapsed="false">
      <c r="A21" s="5" t="str">
        <f aca="false">IF(P21="","",INDEX(Loans!B12:B61,P21))</f>
        <v/>
      </c>
      <c r="B21" s="41" t="str">
        <f aca="false">IF(P21="","",INDEX(I17:I66,P21))</f>
        <v/>
      </c>
      <c r="C21" s="42" t="str">
        <f aca="false">IF(P21="","",INDEX(J17:J66,P21))</f>
        <v/>
      </c>
      <c r="D21" s="41" t="str">
        <f aca="false">IF(P21="","",INDEX(L17:L66,P21))</f>
        <v/>
      </c>
      <c r="E21" s="42" t="str">
        <f aca="false">IF(P21="","",INDEX(M17:M66,P21))</f>
        <v/>
      </c>
      <c r="F21" s="43" t="str">
        <f aca="false">IF(P21="","",SUM(C21,E21))</f>
        <v/>
      </c>
      <c r="H21" s="16" t="n">
        <v>5</v>
      </c>
      <c r="I21" s="16" t="str">
        <f aca="false">IF(Loans!A16="","",Loans!A16)</f>
        <v/>
      </c>
      <c r="J21" s="31" t="n">
        <f aca="false">IF(AND(Loans!C16="Closed",YEAR(Loans!D16)=YEAR(B8),MONTH(Loans!D16)=MONTH(B8)),SUM(Loans!M16,Loans!N16),0)</f>
        <v>0</v>
      </c>
      <c r="K21" s="16" t="str">
        <f aca="false">IF(OR(Loans!C16&lt;&gt;"Closed",Loans!E16=""),"",(YEAR(B8)-YEAR(Loans!E16))*12+MONTH(B8)-MONTH(Loans!E16)+1)</f>
        <v/>
      </c>
      <c r="L21" s="16" t="str">
        <f aca="false">IF(K21="","",IF(AND(K21&gt;=1,K21&lt;=Loans!I16),K21,""))</f>
        <v/>
      </c>
      <c r="M21" s="15" t="str">
        <f aca="false">IF(L21="","",INDEX('Referral Fees'!I16:BP16,1,L21))</f>
        <v/>
      </c>
      <c r="N21" s="16" t="n">
        <f aca="false">IF(OR(J21&gt;0,L21&lt;&gt;""),1,0)</f>
        <v>0</v>
      </c>
      <c r="O21" s="16" t="str">
        <f aca="false">IF(N21=1,SUM(N17:N21),"")</f>
        <v/>
      </c>
      <c r="P21" s="16" t="str">
        <f aca="false">IF(H21&gt;H13,"",MATCH(H21,O17:O66,0))</f>
        <v/>
      </c>
    </row>
    <row r="22" customFormat="false" ht="15" hidden="false" customHeight="false" outlineLevel="0" collapsed="false">
      <c r="A22" s="5" t="str">
        <f aca="false">IF(P22="","",INDEX(Loans!B12:B61,P22))</f>
        <v/>
      </c>
      <c r="B22" s="41" t="str">
        <f aca="false">IF(P22="","",INDEX(I17:I66,P22))</f>
        <v/>
      </c>
      <c r="C22" s="42" t="str">
        <f aca="false">IF(P22="","",INDEX(J17:J66,P22))</f>
        <v/>
      </c>
      <c r="D22" s="41" t="str">
        <f aca="false">IF(P22="","",INDEX(L17:L66,P22))</f>
        <v/>
      </c>
      <c r="E22" s="42" t="str">
        <f aca="false">IF(P22="","",INDEX(M17:M66,P22))</f>
        <v/>
      </c>
      <c r="F22" s="43" t="str">
        <f aca="false">IF(P22="","",SUM(C22,E22))</f>
        <v/>
      </c>
      <c r="H22" s="16" t="n">
        <v>6</v>
      </c>
      <c r="I22" s="16" t="str">
        <f aca="false">IF(Loans!A17="","",Loans!A17)</f>
        <v/>
      </c>
      <c r="J22" s="31" t="n">
        <f aca="false">IF(AND(Loans!C17="Closed",YEAR(Loans!D17)=YEAR(B8),MONTH(Loans!D17)=MONTH(B8)),SUM(Loans!M17,Loans!N17),0)</f>
        <v>0</v>
      </c>
      <c r="K22" s="16" t="str">
        <f aca="false">IF(OR(Loans!C17&lt;&gt;"Closed",Loans!E17=""),"",(YEAR(B8)-YEAR(Loans!E17))*12+MONTH(B8)-MONTH(Loans!E17)+1)</f>
        <v/>
      </c>
      <c r="L22" s="16" t="str">
        <f aca="false">IF(K22="","",IF(AND(K22&gt;=1,K22&lt;=Loans!I17),K22,""))</f>
        <v/>
      </c>
      <c r="M22" s="15" t="str">
        <f aca="false">IF(L22="","",INDEX('Referral Fees'!I17:BP17,1,L22))</f>
        <v/>
      </c>
      <c r="N22" s="16" t="n">
        <f aca="false">IF(OR(J22&gt;0,L22&lt;&gt;""),1,0)</f>
        <v>0</v>
      </c>
      <c r="O22" s="16" t="str">
        <f aca="false">IF(N22=1,SUM(N17:N22),"")</f>
        <v/>
      </c>
      <c r="P22" s="16" t="str">
        <f aca="false">IF(H22&gt;H13,"",MATCH(H22,O17:O66,0))</f>
        <v/>
      </c>
    </row>
    <row r="23" customFormat="false" ht="15" hidden="false" customHeight="false" outlineLevel="0" collapsed="false">
      <c r="A23" s="5" t="str">
        <f aca="false">IF(P23="","",INDEX(Loans!B12:B61,P23))</f>
        <v/>
      </c>
      <c r="B23" s="41" t="str">
        <f aca="false">IF(P23="","",INDEX(I17:I66,P23))</f>
        <v/>
      </c>
      <c r="C23" s="42" t="str">
        <f aca="false">IF(P23="","",INDEX(J17:J66,P23))</f>
        <v/>
      </c>
      <c r="D23" s="41" t="str">
        <f aca="false">IF(P23="","",INDEX(L17:L66,P23))</f>
        <v/>
      </c>
      <c r="E23" s="42" t="str">
        <f aca="false">IF(P23="","",INDEX(M17:M66,P23))</f>
        <v/>
      </c>
      <c r="F23" s="43" t="str">
        <f aca="false">IF(P23="","",SUM(C23,E23))</f>
        <v/>
      </c>
      <c r="H23" s="16" t="n">
        <v>7</v>
      </c>
      <c r="I23" s="16" t="str">
        <f aca="false">IF(Loans!A18="","",Loans!A18)</f>
        <v/>
      </c>
      <c r="J23" s="31" t="n">
        <f aca="false">IF(AND(Loans!C18="Closed",YEAR(Loans!D18)=YEAR(B8),MONTH(Loans!D18)=MONTH(B8)),SUM(Loans!M18,Loans!N18),0)</f>
        <v>0</v>
      </c>
      <c r="K23" s="16" t="str">
        <f aca="false">IF(OR(Loans!C18&lt;&gt;"Closed",Loans!E18=""),"",(YEAR(B8)-YEAR(Loans!E18))*12+MONTH(B8)-MONTH(Loans!E18)+1)</f>
        <v/>
      </c>
      <c r="L23" s="16" t="str">
        <f aca="false">IF(K23="","",IF(AND(K23&gt;=1,K23&lt;=Loans!I18),K23,""))</f>
        <v/>
      </c>
      <c r="M23" s="15" t="str">
        <f aca="false">IF(L23="","",INDEX('Referral Fees'!I18:BP18,1,L23))</f>
        <v/>
      </c>
      <c r="N23" s="16" t="n">
        <f aca="false">IF(OR(J23&gt;0,L23&lt;&gt;""),1,0)</f>
        <v>0</v>
      </c>
      <c r="O23" s="16" t="str">
        <f aca="false">IF(N23=1,SUM(N17:N23),"")</f>
        <v/>
      </c>
      <c r="P23" s="16" t="str">
        <f aca="false">IF(H23&gt;H13,"",MATCH(H23,O17:O66,0))</f>
        <v/>
      </c>
    </row>
    <row r="24" customFormat="false" ht="15" hidden="false" customHeight="false" outlineLevel="0" collapsed="false">
      <c r="A24" s="5" t="str">
        <f aca="false">IF(P24="","",INDEX(Loans!B12:B61,P24))</f>
        <v/>
      </c>
      <c r="B24" s="41" t="str">
        <f aca="false">IF(P24="","",INDEX(I17:I66,P24))</f>
        <v/>
      </c>
      <c r="C24" s="42" t="str">
        <f aca="false">IF(P24="","",INDEX(J17:J66,P24))</f>
        <v/>
      </c>
      <c r="D24" s="41" t="str">
        <f aca="false">IF(P24="","",INDEX(L17:L66,P24))</f>
        <v/>
      </c>
      <c r="E24" s="42" t="str">
        <f aca="false">IF(P24="","",INDEX(M17:M66,P24))</f>
        <v/>
      </c>
      <c r="F24" s="43" t="str">
        <f aca="false">IF(P24="","",SUM(C24,E24))</f>
        <v/>
      </c>
      <c r="H24" s="16" t="n">
        <v>8</v>
      </c>
      <c r="I24" s="16" t="str">
        <f aca="false">IF(Loans!A19="","",Loans!A19)</f>
        <v/>
      </c>
      <c r="J24" s="31" t="n">
        <f aca="false">IF(AND(Loans!C19="Closed",YEAR(Loans!D19)=YEAR(B8),MONTH(Loans!D19)=MONTH(B8)),SUM(Loans!M19,Loans!N19),0)</f>
        <v>0</v>
      </c>
      <c r="K24" s="16" t="str">
        <f aca="false">IF(OR(Loans!C19&lt;&gt;"Closed",Loans!E19=""),"",(YEAR(B8)-YEAR(Loans!E19))*12+MONTH(B8)-MONTH(Loans!E19)+1)</f>
        <v/>
      </c>
      <c r="L24" s="16" t="str">
        <f aca="false">IF(K24="","",IF(AND(K24&gt;=1,K24&lt;=Loans!I19),K24,""))</f>
        <v/>
      </c>
      <c r="M24" s="15" t="str">
        <f aca="false">IF(L24="","",INDEX('Referral Fees'!I19:BP19,1,L24))</f>
        <v/>
      </c>
      <c r="N24" s="16" t="n">
        <f aca="false">IF(OR(J24&gt;0,L24&lt;&gt;""),1,0)</f>
        <v>0</v>
      </c>
      <c r="O24" s="16" t="str">
        <f aca="false">IF(N24=1,SUM(N17:N24),"")</f>
        <v/>
      </c>
      <c r="P24" s="16" t="str">
        <f aca="false">IF(H24&gt;H13,"",MATCH(H24,O17:O66,0))</f>
        <v/>
      </c>
    </row>
    <row r="25" customFormat="false" ht="15" hidden="false" customHeight="false" outlineLevel="0" collapsed="false">
      <c r="A25" s="5" t="str">
        <f aca="false">IF(P25="","",INDEX(Loans!B12:B61,P25))</f>
        <v/>
      </c>
      <c r="B25" s="41" t="str">
        <f aca="false">IF(P25="","",INDEX(I17:I66,P25))</f>
        <v/>
      </c>
      <c r="C25" s="42" t="str">
        <f aca="false">IF(P25="","",INDEX(J17:J66,P25))</f>
        <v/>
      </c>
      <c r="D25" s="41" t="str">
        <f aca="false">IF(P25="","",INDEX(L17:L66,P25))</f>
        <v/>
      </c>
      <c r="E25" s="42" t="str">
        <f aca="false">IF(P25="","",INDEX(M17:M66,P25))</f>
        <v/>
      </c>
      <c r="F25" s="43" t="str">
        <f aca="false">IF(P25="","",SUM(C25,E25))</f>
        <v/>
      </c>
      <c r="H25" s="16" t="n">
        <v>9</v>
      </c>
      <c r="I25" s="16" t="str">
        <f aca="false">IF(Loans!A20="","",Loans!A20)</f>
        <v/>
      </c>
      <c r="J25" s="31" t="n">
        <f aca="false">IF(AND(Loans!C20="Closed",YEAR(Loans!D20)=YEAR(B8),MONTH(Loans!D20)=MONTH(B8)),SUM(Loans!M20,Loans!N20),0)</f>
        <v>0</v>
      </c>
      <c r="K25" s="16" t="str">
        <f aca="false">IF(OR(Loans!C20&lt;&gt;"Closed",Loans!E20=""),"",(YEAR(B8)-YEAR(Loans!E20))*12+MONTH(B8)-MONTH(Loans!E20)+1)</f>
        <v/>
      </c>
      <c r="L25" s="16" t="str">
        <f aca="false">IF(K25="","",IF(AND(K25&gt;=1,K25&lt;=Loans!I20),K25,""))</f>
        <v/>
      </c>
      <c r="M25" s="15" t="str">
        <f aca="false">IF(L25="","",INDEX('Referral Fees'!I20:BP20,1,L25))</f>
        <v/>
      </c>
      <c r="N25" s="16" t="n">
        <f aca="false">IF(OR(J25&gt;0,L25&lt;&gt;""),1,0)</f>
        <v>0</v>
      </c>
      <c r="O25" s="16" t="str">
        <f aca="false">IF(N25=1,SUM(N17:N25),"")</f>
        <v/>
      </c>
      <c r="P25" s="16" t="str">
        <f aca="false">IF(H25&gt;H13,"",MATCH(H25,O17:O66,0))</f>
        <v/>
      </c>
    </row>
    <row r="26" customFormat="false" ht="15" hidden="false" customHeight="false" outlineLevel="0" collapsed="false">
      <c r="A26" s="5" t="str">
        <f aca="false">IF(P26="","",INDEX(Loans!B12:B61,P26))</f>
        <v/>
      </c>
      <c r="B26" s="41" t="str">
        <f aca="false">IF(P26="","",INDEX(I17:I66,P26))</f>
        <v/>
      </c>
      <c r="C26" s="42" t="str">
        <f aca="false">IF(P26="","",INDEX(J17:J66,P26))</f>
        <v/>
      </c>
      <c r="D26" s="41" t="str">
        <f aca="false">IF(P26="","",INDEX(L17:L66,P26))</f>
        <v/>
      </c>
      <c r="E26" s="42" t="str">
        <f aca="false">IF(P26="","",INDEX(M17:M66,P26))</f>
        <v/>
      </c>
      <c r="F26" s="43" t="str">
        <f aca="false">IF(P26="","",SUM(C26,E26))</f>
        <v/>
      </c>
      <c r="H26" s="16" t="n">
        <v>10</v>
      </c>
      <c r="I26" s="16" t="str">
        <f aca="false">IF(Loans!A21="","",Loans!A21)</f>
        <v/>
      </c>
      <c r="J26" s="31" t="n">
        <f aca="false">IF(AND(Loans!C21="Closed",YEAR(Loans!D21)=YEAR(B8),MONTH(Loans!D21)=MONTH(B8)),SUM(Loans!M21,Loans!N21),0)</f>
        <v>0</v>
      </c>
      <c r="K26" s="16" t="str">
        <f aca="false">IF(OR(Loans!C21&lt;&gt;"Closed",Loans!E21=""),"",(YEAR(B8)-YEAR(Loans!E21))*12+MONTH(B8)-MONTH(Loans!E21)+1)</f>
        <v/>
      </c>
      <c r="L26" s="16" t="str">
        <f aca="false">IF(K26="","",IF(AND(K26&gt;=1,K26&lt;=Loans!I21),K26,""))</f>
        <v/>
      </c>
      <c r="M26" s="15" t="str">
        <f aca="false">IF(L26="","",INDEX('Referral Fees'!I21:BP21,1,L26))</f>
        <v/>
      </c>
      <c r="N26" s="16" t="n">
        <f aca="false">IF(OR(J26&gt;0,L26&lt;&gt;""),1,0)</f>
        <v>0</v>
      </c>
      <c r="O26" s="16" t="str">
        <f aca="false">IF(N26=1,SUM(N17:N26),"")</f>
        <v/>
      </c>
      <c r="P26" s="16" t="str">
        <f aca="false">IF(H26&gt;H13,"",MATCH(H26,O17:O66,0))</f>
        <v/>
      </c>
    </row>
    <row r="27" customFormat="false" ht="15" hidden="false" customHeight="false" outlineLevel="0" collapsed="false">
      <c r="A27" s="5" t="str">
        <f aca="false">IF(P27="","",INDEX(Loans!B12:B61,P27))</f>
        <v/>
      </c>
      <c r="B27" s="41" t="str">
        <f aca="false">IF(P27="","",INDEX(I17:I66,P27))</f>
        <v/>
      </c>
      <c r="C27" s="42" t="str">
        <f aca="false">IF(P27="","",INDEX(J17:J66,P27))</f>
        <v/>
      </c>
      <c r="D27" s="41" t="str">
        <f aca="false">IF(P27="","",INDEX(L17:L66,P27))</f>
        <v/>
      </c>
      <c r="E27" s="42" t="str">
        <f aca="false">IF(P27="","",INDEX(M17:M66,P27))</f>
        <v/>
      </c>
      <c r="F27" s="43" t="str">
        <f aca="false">IF(P27="","",SUM(C27,E27))</f>
        <v/>
      </c>
      <c r="H27" s="16" t="n">
        <v>11</v>
      </c>
      <c r="I27" s="16" t="str">
        <f aca="false">IF(Loans!A22="","",Loans!A22)</f>
        <v/>
      </c>
      <c r="J27" s="31" t="n">
        <f aca="false">IF(AND(Loans!C22="Closed",YEAR(Loans!D22)=YEAR(B8),MONTH(Loans!D22)=MONTH(B8)),SUM(Loans!M22,Loans!N22),0)</f>
        <v>0</v>
      </c>
      <c r="K27" s="16" t="str">
        <f aca="false">IF(OR(Loans!C22&lt;&gt;"Closed",Loans!E22=""),"",(YEAR(B8)-YEAR(Loans!E22))*12+MONTH(B8)-MONTH(Loans!E22)+1)</f>
        <v/>
      </c>
      <c r="L27" s="16" t="str">
        <f aca="false">IF(K27="","",IF(AND(K27&gt;=1,K27&lt;=Loans!I22),K27,""))</f>
        <v/>
      </c>
      <c r="M27" s="15" t="str">
        <f aca="false">IF(L27="","",INDEX('Referral Fees'!I22:BP22,1,L27))</f>
        <v/>
      </c>
      <c r="N27" s="16" t="n">
        <f aca="false">IF(OR(J27&gt;0,L27&lt;&gt;""),1,0)</f>
        <v>0</v>
      </c>
      <c r="O27" s="16" t="str">
        <f aca="false">IF(N27=1,SUM(N17:N27),"")</f>
        <v/>
      </c>
      <c r="P27" s="16" t="str">
        <f aca="false">IF(H27&gt;H13,"",MATCH(H27,O17:O66,0))</f>
        <v/>
      </c>
    </row>
    <row r="28" customFormat="false" ht="15" hidden="false" customHeight="false" outlineLevel="0" collapsed="false">
      <c r="A28" s="5" t="str">
        <f aca="false">IF(P28="","",INDEX(Loans!B12:B61,P28))</f>
        <v/>
      </c>
      <c r="B28" s="41" t="str">
        <f aca="false">IF(P28="","",INDEX(I17:I66,P28))</f>
        <v/>
      </c>
      <c r="C28" s="42" t="str">
        <f aca="false">IF(P28="","",INDEX(J17:J66,P28))</f>
        <v/>
      </c>
      <c r="D28" s="41" t="str">
        <f aca="false">IF(P28="","",INDEX(L17:L66,P28))</f>
        <v/>
      </c>
      <c r="E28" s="42" t="str">
        <f aca="false">IF(P28="","",INDEX(M17:M66,P28))</f>
        <v/>
      </c>
      <c r="F28" s="43" t="str">
        <f aca="false">IF(P28="","",SUM(C28,E28))</f>
        <v/>
      </c>
      <c r="H28" s="16" t="n">
        <v>12</v>
      </c>
      <c r="I28" s="16" t="str">
        <f aca="false">IF(Loans!A23="","",Loans!A23)</f>
        <v/>
      </c>
      <c r="J28" s="31" t="n">
        <f aca="false">IF(AND(Loans!C23="Closed",YEAR(Loans!D23)=YEAR(B8),MONTH(Loans!D23)=MONTH(B8)),SUM(Loans!M23,Loans!N23),0)</f>
        <v>0</v>
      </c>
      <c r="K28" s="16" t="str">
        <f aca="false">IF(OR(Loans!C23&lt;&gt;"Closed",Loans!E23=""),"",(YEAR(B8)-YEAR(Loans!E23))*12+MONTH(B8)-MONTH(Loans!E23)+1)</f>
        <v/>
      </c>
      <c r="L28" s="16" t="str">
        <f aca="false">IF(K28="","",IF(AND(K28&gt;=1,K28&lt;=Loans!I23),K28,""))</f>
        <v/>
      </c>
      <c r="M28" s="15" t="str">
        <f aca="false">IF(L28="","",INDEX('Referral Fees'!I23:BP23,1,L28))</f>
        <v/>
      </c>
      <c r="N28" s="16" t="n">
        <f aca="false">IF(OR(J28&gt;0,L28&lt;&gt;""),1,0)</f>
        <v>0</v>
      </c>
      <c r="O28" s="16" t="str">
        <f aca="false">IF(N28=1,SUM(N17:N28),"")</f>
        <v/>
      </c>
      <c r="P28" s="16" t="str">
        <f aca="false">IF(H28&gt;H13,"",MATCH(H28,O17:O66,0))</f>
        <v/>
      </c>
    </row>
    <row r="29" customFormat="false" ht="15" hidden="false" customHeight="false" outlineLevel="0" collapsed="false">
      <c r="A29" s="5" t="str">
        <f aca="false">IF(P29="","",INDEX(Loans!B12:B61,P29))</f>
        <v/>
      </c>
      <c r="B29" s="41" t="str">
        <f aca="false">IF(P29="","",INDEX(I17:I66,P29))</f>
        <v/>
      </c>
      <c r="C29" s="42" t="str">
        <f aca="false">IF(P29="","",INDEX(J17:J66,P29))</f>
        <v/>
      </c>
      <c r="D29" s="41" t="str">
        <f aca="false">IF(P29="","",INDEX(L17:L66,P29))</f>
        <v/>
      </c>
      <c r="E29" s="42" t="str">
        <f aca="false">IF(P29="","",INDEX(M17:M66,P29))</f>
        <v/>
      </c>
      <c r="F29" s="43" t="str">
        <f aca="false">IF(P29="","",SUM(C29,E29))</f>
        <v/>
      </c>
      <c r="H29" s="16" t="n">
        <v>13</v>
      </c>
      <c r="I29" s="16" t="str">
        <f aca="false">IF(Loans!A24="","",Loans!A24)</f>
        <v/>
      </c>
      <c r="J29" s="31" t="n">
        <f aca="false">IF(AND(Loans!C24="Closed",YEAR(Loans!D24)=YEAR(B8),MONTH(Loans!D24)=MONTH(B8)),SUM(Loans!M24,Loans!N24),0)</f>
        <v>0</v>
      </c>
      <c r="K29" s="16" t="str">
        <f aca="false">IF(OR(Loans!C24&lt;&gt;"Closed",Loans!E24=""),"",(YEAR(B8)-YEAR(Loans!E24))*12+MONTH(B8)-MONTH(Loans!E24)+1)</f>
        <v/>
      </c>
      <c r="L29" s="16" t="str">
        <f aca="false">IF(K29="","",IF(AND(K29&gt;=1,K29&lt;=Loans!I24),K29,""))</f>
        <v/>
      </c>
      <c r="M29" s="15" t="str">
        <f aca="false">IF(L29="","",INDEX('Referral Fees'!I24:BP24,1,L29))</f>
        <v/>
      </c>
      <c r="N29" s="16" t="n">
        <f aca="false">IF(OR(J29&gt;0,L29&lt;&gt;""),1,0)</f>
        <v>0</v>
      </c>
      <c r="O29" s="16" t="str">
        <f aca="false">IF(N29=1,SUM(N17:N29),"")</f>
        <v/>
      </c>
      <c r="P29" s="16" t="str">
        <f aca="false">IF(H29&gt;H13,"",MATCH(H29,O17:O66,0))</f>
        <v/>
      </c>
    </row>
    <row r="30" customFormat="false" ht="15" hidden="false" customHeight="false" outlineLevel="0" collapsed="false">
      <c r="A30" s="5" t="str">
        <f aca="false">IF(P30="","",INDEX(Loans!B12:B61,P30))</f>
        <v/>
      </c>
      <c r="B30" s="41" t="str">
        <f aca="false">IF(P30="","",INDEX(I17:I66,P30))</f>
        <v/>
      </c>
      <c r="C30" s="42" t="str">
        <f aca="false">IF(P30="","",INDEX(J17:J66,P30))</f>
        <v/>
      </c>
      <c r="D30" s="41" t="str">
        <f aca="false">IF(P30="","",INDEX(L17:L66,P30))</f>
        <v/>
      </c>
      <c r="E30" s="42" t="str">
        <f aca="false">IF(P30="","",INDEX(M17:M66,P30))</f>
        <v/>
      </c>
      <c r="F30" s="43" t="str">
        <f aca="false">IF(P30="","",SUM(C30,E30))</f>
        <v/>
      </c>
      <c r="H30" s="16" t="n">
        <v>14</v>
      </c>
      <c r="I30" s="16" t="str">
        <f aca="false">IF(Loans!A25="","",Loans!A25)</f>
        <v/>
      </c>
      <c r="J30" s="31" t="n">
        <f aca="false">IF(AND(Loans!C25="Closed",YEAR(Loans!D25)=YEAR(B8),MONTH(Loans!D25)=MONTH(B8)),SUM(Loans!M25,Loans!N25),0)</f>
        <v>0</v>
      </c>
      <c r="K30" s="16" t="str">
        <f aca="false">IF(OR(Loans!C25&lt;&gt;"Closed",Loans!E25=""),"",(YEAR(B8)-YEAR(Loans!E25))*12+MONTH(B8)-MONTH(Loans!E25)+1)</f>
        <v/>
      </c>
      <c r="L30" s="16" t="str">
        <f aca="false">IF(K30="","",IF(AND(K30&gt;=1,K30&lt;=Loans!I25),K30,""))</f>
        <v/>
      </c>
      <c r="M30" s="15" t="str">
        <f aca="false">IF(L30="","",INDEX('Referral Fees'!I25:BP25,1,L30))</f>
        <v/>
      </c>
      <c r="N30" s="16" t="n">
        <f aca="false">IF(OR(J30&gt;0,L30&lt;&gt;""),1,0)</f>
        <v>0</v>
      </c>
      <c r="O30" s="16" t="str">
        <f aca="false">IF(N30=1,SUM(N17:N30),"")</f>
        <v/>
      </c>
      <c r="P30" s="16" t="str">
        <f aca="false">IF(H30&gt;H13,"",MATCH(H30,O17:O66,0))</f>
        <v/>
      </c>
    </row>
    <row r="31" customFormat="false" ht="15" hidden="false" customHeight="false" outlineLevel="0" collapsed="false">
      <c r="A31" s="5" t="str">
        <f aca="false">IF(P31="","",INDEX(Loans!B12:B61,P31))</f>
        <v/>
      </c>
      <c r="B31" s="41" t="str">
        <f aca="false">IF(P31="","",INDEX(I17:I66,P31))</f>
        <v/>
      </c>
      <c r="C31" s="42" t="str">
        <f aca="false">IF(P31="","",INDEX(J17:J66,P31))</f>
        <v/>
      </c>
      <c r="D31" s="41" t="str">
        <f aca="false">IF(P31="","",INDEX(L17:L66,P31))</f>
        <v/>
      </c>
      <c r="E31" s="42" t="str">
        <f aca="false">IF(P31="","",INDEX(M17:M66,P31))</f>
        <v/>
      </c>
      <c r="F31" s="43" t="str">
        <f aca="false">IF(P31="","",SUM(C31,E31))</f>
        <v/>
      </c>
      <c r="H31" s="16" t="n">
        <v>15</v>
      </c>
      <c r="I31" s="16" t="str">
        <f aca="false">IF(Loans!A26="","",Loans!A26)</f>
        <v/>
      </c>
      <c r="J31" s="31" t="n">
        <f aca="false">IF(AND(Loans!C26="Closed",YEAR(Loans!D26)=YEAR(B8),MONTH(Loans!D26)=MONTH(B8)),SUM(Loans!M26,Loans!N26),0)</f>
        <v>0</v>
      </c>
      <c r="K31" s="16" t="str">
        <f aca="false">IF(OR(Loans!C26&lt;&gt;"Closed",Loans!E26=""),"",(YEAR(B8)-YEAR(Loans!E26))*12+MONTH(B8)-MONTH(Loans!E26)+1)</f>
        <v/>
      </c>
      <c r="L31" s="16" t="str">
        <f aca="false">IF(K31="","",IF(AND(K31&gt;=1,K31&lt;=Loans!I26),K31,""))</f>
        <v/>
      </c>
      <c r="M31" s="15" t="str">
        <f aca="false">IF(L31="","",INDEX('Referral Fees'!I26:BP26,1,L31))</f>
        <v/>
      </c>
      <c r="N31" s="16" t="n">
        <f aca="false">IF(OR(J31&gt;0,L31&lt;&gt;""),1,0)</f>
        <v>0</v>
      </c>
      <c r="O31" s="16" t="str">
        <f aca="false">IF(N31=1,SUM(N17:N31),"")</f>
        <v/>
      </c>
      <c r="P31" s="16" t="str">
        <f aca="false">IF(H31&gt;H13,"",MATCH(H31,O17:O66,0))</f>
        <v/>
      </c>
    </row>
    <row r="32" customFormat="false" ht="15" hidden="false" customHeight="false" outlineLevel="0" collapsed="false">
      <c r="A32" s="5" t="str">
        <f aca="false">IF(P32="","",INDEX(Loans!B12:B61,P32))</f>
        <v/>
      </c>
      <c r="B32" s="41" t="str">
        <f aca="false">IF(P32="","",INDEX(I17:I66,P32))</f>
        <v/>
      </c>
      <c r="C32" s="42" t="str">
        <f aca="false">IF(P32="","",INDEX(J17:J66,P32))</f>
        <v/>
      </c>
      <c r="D32" s="41" t="str">
        <f aca="false">IF(P32="","",INDEX(L17:L66,P32))</f>
        <v/>
      </c>
      <c r="E32" s="42" t="str">
        <f aca="false">IF(P32="","",INDEX(M17:M66,P32))</f>
        <v/>
      </c>
      <c r="F32" s="43" t="str">
        <f aca="false">IF(P32="","",SUM(C32,E32))</f>
        <v/>
      </c>
      <c r="H32" s="16" t="n">
        <v>16</v>
      </c>
      <c r="I32" s="16" t="str">
        <f aca="false">IF(Loans!A27="","",Loans!A27)</f>
        <v/>
      </c>
      <c r="J32" s="31" t="n">
        <f aca="false">IF(AND(Loans!C27="Closed",YEAR(Loans!D27)=YEAR(B8),MONTH(Loans!D27)=MONTH(B8)),SUM(Loans!M27,Loans!N27),0)</f>
        <v>0</v>
      </c>
      <c r="K32" s="16" t="str">
        <f aca="false">IF(OR(Loans!C27&lt;&gt;"Closed",Loans!E27=""),"",(YEAR(B8)-YEAR(Loans!E27))*12+MONTH(B8)-MONTH(Loans!E27)+1)</f>
        <v/>
      </c>
      <c r="L32" s="16" t="str">
        <f aca="false">IF(K32="","",IF(AND(K32&gt;=1,K32&lt;=Loans!I27),K32,""))</f>
        <v/>
      </c>
      <c r="M32" s="15" t="str">
        <f aca="false">IF(L32="","",INDEX('Referral Fees'!I27:BP27,1,L32))</f>
        <v/>
      </c>
      <c r="N32" s="16" t="n">
        <f aca="false">IF(OR(J32&gt;0,L32&lt;&gt;""),1,0)</f>
        <v>0</v>
      </c>
      <c r="O32" s="16" t="str">
        <f aca="false">IF(N32=1,SUM(N17:N32),"")</f>
        <v/>
      </c>
      <c r="P32" s="16" t="str">
        <f aca="false">IF(H32&gt;H13,"",MATCH(H32,O17:O66,0))</f>
        <v/>
      </c>
    </row>
    <row r="33" customFormat="false" ht="15" hidden="false" customHeight="false" outlineLevel="0" collapsed="false">
      <c r="A33" s="5" t="str">
        <f aca="false">IF(P33="","",INDEX(Loans!B12:B61,P33))</f>
        <v/>
      </c>
      <c r="B33" s="41" t="str">
        <f aca="false">IF(P33="","",INDEX(I17:I66,P33))</f>
        <v/>
      </c>
      <c r="C33" s="42" t="str">
        <f aca="false">IF(P33="","",INDEX(J17:J66,P33))</f>
        <v/>
      </c>
      <c r="D33" s="41" t="str">
        <f aca="false">IF(P33="","",INDEX(L17:L66,P33))</f>
        <v/>
      </c>
      <c r="E33" s="42" t="str">
        <f aca="false">IF(P33="","",INDEX(M17:M66,P33))</f>
        <v/>
      </c>
      <c r="F33" s="43" t="str">
        <f aca="false">IF(P33="","",SUM(C33,E33))</f>
        <v/>
      </c>
      <c r="H33" s="16" t="n">
        <v>17</v>
      </c>
      <c r="I33" s="16" t="str">
        <f aca="false">IF(Loans!A28="","",Loans!A28)</f>
        <v/>
      </c>
      <c r="J33" s="31" t="n">
        <f aca="false">IF(AND(Loans!C28="Closed",YEAR(Loans!D28)=YEAR(B8),MONTH(Loans!D28)=MONTH(B8)),SUM(Loans!M28,Loans!N28),0)</f>
        <v>0</v>
      </c>
      <c r="K33" s="16" t="str">
        <f aca="false">IF(OR(Loans!C28&lt;&gt;"Closed",Loans!E28=""),"",(YEAR(B8)-YEAR(Loans!E28))*12+MONTH(B8)-MONTH(Loans!E28)+1)</f>
        <v/>
      </c>
      <c r="L33" s="16" t="str">
        <f aca="false">IF(K33="","",IF(AND(K33&gt;=1,K33&lt;=Loans!I28),K33,""))</f>
        <v/>
      </c>
      <c r="M33" s="15" t="str">
        <f aca="false">IF(L33="","",INDEX('Referral Fees'!I28:BP28,1,L33))</f>
        <v/>
      </c>
      <c r="N33" s="16" t="n">
        <f aca="false">IF(OR(J33&gt;0,L33&lt;&gt;""),1,0)</f>
        <v>0</v>
      </c>
      <c r="O33" s="16" t="str">
        <f aca="false">IF(N33=1,SUM(N17:N33),"")</f>
        <v/>
      </c>
      <c r="P33" s="16" t="str">
        <f aca="false">IF(H33&gt;H13,"",MATCH(H33,O17:O66,0))</f>
        <v/>
      </c>
    </row>
    <row r="34" customFormat="false" ht="15" hidden="false" customHeight="false" outlineLevel="0" collapsed="false">
      <c r="A34" s="5" t="str">
        <f aca="false">IF(P34="","",INDEX(Loans!B12:B61,P34))</f>
        <v/>
      </c>
      <c r="B34" s="41" t="str">
        <f aca="false">IF(P34="","",INDEX(I17:I66,P34))</f>
        <v/>
      </c>
      <c r="C34" s="42" t="str">
        <f aca="false">IF(P34="","",INDEX(J17:J66,P34))</f>
        <v/>
      </c>
      <c r="D34" s="41" t="str">
        <f aca="false">IF(P34="","",INDEX(L17:L66,P34))</f>
        <v/>
      </c>
      <c r="E34" s="42" t="str">
        <f aca="false">IF(P34="","",INDEX(M17:M66,P34))</f>
        <v/>
      </c>
      <c r="F34" s="43" t="str">
        <f aca="false">IF(P34="","",SUM(C34,E34))</f>
        <v/>
      </c>
      <c r="H34" s="16" t="n">
        <v>18</v>
      </c>
      <c r="I34" s="16" t="str">
        <f aca="false">IF(Loans!A29="","",Loans!A29)</f>
        <v/>
      </c>
      <c r="J34" s="31" t="n">
        <f aca="false">IF(AND(Loans!C29="Closed",YEAR(Loans!D29)=YEAR(B8),MONTH(Loans!D29)=MONTH(B8)),SUM(Loans!M29,Loans!N29),0)</f>
        <v>0</v>
      </c>
      <c r="K34" s="16" t="str">
        <f aca="false">IF(OR(Loans!C29&lt;&gt;"Closed",Loans!E29=""),"",(YEAR(B8)-YEAR(Loans!E29))*12+MONTH(B8)-MONTH(Loans!E29)+1)</f>
        <v/>
      </c>
      <c r="L34" s="16" t="str">
        <f aca="false">IF(K34="","",IF(AND(K34&gt;=1,K34&lt;=Loans!I29),K34,""))</f>
        <v/>
      </c>
      <c r="M34" s="15" t="str">
        <f aca="false">IF(L34="","",INDEX('Referral Fees'!I29:BP29,1,L34))</f>
        <v/>
      </c>
      <c r="N34" s="16" t="n">
        <f aca="false">IF(OR(J34&gt;0,L34&lt;&gt;""),1,0)</f>
        <v>0</v>
      </c>
      <c r="O34" s="16" t="str">
        <f aca="false">IF(N34=1,SUM(N17:N34),"")</f>
        <v/>
      </c>
      <c r="P34" s="16" t="str">
        <f aca="false">IF(H34&gt;H13,"",MATCH(H34,O17:O66,0))</f>
        <v/>
      </c>
    </row>
    <row r="35" customFormat="false" ht="15" hidden="false" customHeight="false" outlineLevel="0" collapsed="false">
      <c r="A35" s="5" t="str">
        <f aca="false">IF(P35="","",INDEX(Loans!B12:B61,P35))</f>
        <v/>
      </c>
      <c r="B35" s="41" t="str">
        <f aca="false">IF(P35="","",INDEX(I17:I66,P35))</f>
        <v/>
      </c>
      <c r="C35" s="42" t="str">
        <f aca="false">IF(P35="","",INDEX(J17:J66,P35))</f>
        <v/>
      </c>
      <c r="D35" s="41" t="str">
        <f aca="false">IF(P35="","",INDEX(L17:L66,P35))</f>
        <v/>
      </c>
      <c r="E35" s="42" t="str">
        <f aca="false">IF(P35="","",INDEX(M17:M66,P35))</f>
        <v/>
      </c>
      <c r="F35" s="43" t="str">
        <f aca="false">IF(P35="","",SUM(C35,E35))</f>
        <v/>
      </c>
      <c r="H35" s="16" t="n">
        <v>19</v>
      </c>
      <c r="I35" s="16" t="str">
        <f aca="false">IF(Loans!A30="","",Loans!A30)</f>
        <v/>
      </c>
      <c r="J35" s="31" t="n">
        <f aca="false">IF(AND(Loans!C30="Closed",YEAR(Loans!D30)=YEAR(B8),MONTH(Loans!D30)=MONTH(B8)),SUM(Loans!M30,Loans!N30),0)</f>
        <v>0</v>
      </c>
      <c r="K35" s="16" t="str">
        <f aca="false">IF(OR(Loans!C30&lt;&gt;"Closed",Loans!E30=""),"",(YEAR(B8)-YEAR(Loans!E30))*12+MONTH(B8)-MONTH(Loans!E30)+1)</f>
        <v/>
      </c>
      <c r="L35" s="16" t="str">
        <f aca="false">IF(K35="","",IF(AND(K35&gt;=1,K35&lt;=Loans!I30),K35,""))</f>
        <v/>
      </c>
      <c r="M35" s="15" t="str">
        <f aca="false">IF(L35="","",INDEX('Referral Fees'!I30:BP30,1,L35))</f>
        <v/>
      </c>
      <c r="N35" s="16" t="n">
        <f aca="false">IF(OR(J35&gt;0,L35&lt;&gt;""),1,0)</f>
        <v>0</v>
      </c>
      <c r="O35" s="16" t="str">
        <f aca="false">IF(N35=1,SUM(N17:N35),"")</f>
        <v/>
      </c>
      <c r="P35" s="16" t="str">
        <f aca="false">IF(H35&gt;H13,"",MATCH(H35,O17:O66,0))</f>
        <v/>
      </c>
    </row>
    <row r="36" customFormat="false" ht="15" hidden="false" customHeight="false" outlineLevel="0" collapsed="false">
      <c r="A36" s="5" t="str">
        <f aca="false">IF(P36="","",INDEX(Loans!B12:B61,P36))</f>
        <v/>
      </c>
      <c r="B36" s="41" t="str">
        <f aca="false">IF(P36="","",INDEX(I17:I66,P36))</f>
        <v/>
      </c>
      <c r="C36" s="42" t="str">
        <f aca="false">IF(P36="","",INDEX(J17:J66,P36))</f>
        <v/>
      </c>
      <c r="D36" s="41" t="str">
        <f aca="false">IF(P36="","",INDEX(L17:L66,P36))</f>
        <v/>
      </c>
      <c r="E36" s="42" t="str">
        <f aca="false">IF(P36="","",INDEX(M17:M66,P36))</f>
        <v/>
      </c>
      <c r="F36" s="43" t="str">
        <f aca="false">IF(P36="","",SUM(C36,E36))</f>
        <v/>
      </c>
      <c r="H36" s="16" t="n">
        <v>20</v>
      </c>
      <c r="I36" s="16" t="str">
        <f aca="false">IF(Loans!A31="","",Loans!A31)</f>
        <v/>
      </c>
      <c r="J36" s="31" t="n">
        <f aca="false">IF(AND(Loans!C31="Closed",YEAR(Loans!D31)=YEAR(B8),MONTH(Loans!D31)=MONTH(B8)),SUM(Loans!M31,Loans!N31),0)</f>
        <v>0</v>
      </c>
      <c r="K36" s="16" t="str">
        <f aca="false">IF(OR(Loans!C31&lt;&gt;"Closed",Loans!E31=""),"",(YEAR(B8)-YEAR(Loans!E31))*12+MONTH(B8)-MONTH(Loans!E31)+1)</f>
        <v/>
      </c>
      <c r="L36" s="16" t="str">
        <f aca="false">IF(K36="","",IF(AND(K36&gt;=1,K36&lt;=Loans!I31),K36,""))</f>
        <v/>
      </c>
      <c r="M36" s="15" t="str">
        <f aca="false">IF(L36="","",INDEX('Referral Fees'!I31:BP31,1,L36))</f>
        <v/>
      </c>
      <c r="N36" s="16" t="n">
        <f aca="false">IF(OR(J36&gt;0,L36&lt;&gt;""),1,0)</f>
        <v>0</v>
      </c>
      <c r="O36" s="16" t="str">
        <f aca="false">IF(N36=1,SUM(N17:N36),"")</f>
        <v/>
      </c>
      <c r="P36" s="16" t="str">
        <f aca="false">IF(H36&gt;H13,"",MATCH(H36,O17:O66,0))</f>
        <v/>
      </c>
    </row>
    <row r="37" customFormat="false" ht="15" hidden="false" customHeight="false" outlineLevel="0" collapsed="false">
      <c r="A37" s="5" t="str">
        <f aca="false">IF(P37="","",INDEX(Loans!B12:B61,P37))</f>
        <v/>
      </c>
      <c r="B37" s="41" t="str">
        <f aca="false">IF(P37="","",INDEX(I17:I66,P37))</f>
        <v/>
      </c>
      <c r="C37" s="42" t="str">
        <f aca="false">IF(P37="","",INDEX(J17:J66,P37))</f>
        <v/>
      </c>
      <c r="D37" s="41" t="str">
        <f aca="false">IF(P37="","",INDEX(L17:L66,P37))</f>
        <v/>
      </c>
      <c r="E37" s="42" t="str">
        <f aca="false">IF(P37="","",INDEX(M17:M66,P37))</f>
        <v/>
      </c>
      <c r="F37" s="43" t="str">
        <f aca="false">IF(P37="","",SUM(C37,E37))</f>
        <v/>
      </c>
      <c r="H37" s="16" t="n">
        <v>21</v>
      </c>
      <c r="I37" s="16" t="str">
        <f aca="false">IF(Loans!A32="","",Loans!A32)</f>
        <v/>
      </c>
      <c r="J37" s="31" t="n">
        <f aca="false">IF(AND(Loans!C32="Closed",YEAR(Loans!D32)=YEAR(B8),MONTH(Loans!D32)=MONTH(B8)),SUM(Loans!M32,Loans!N32),0)</f>
        <v>0</v>
      </c>
      <c r="K37" s="16" t="str">
        <f aca="false">IF(OR(Loans!C32&lt;&gt;"Closed",Loans!E32=""),"",(YEAR(B8)-YEAR(Loans!E32))*12+MONTH(B8)-MONTH(Loans!E32)+1)</f>
        <v/>
      </c>
      <c r="L37" s="16" t="str">
        <f aca="false">IF(K37="","",IF(AND(K37&gt;=1,K37&lt;=Loans!I32),K37,""))</f>
        <v/>
      </c>
      <c r="M37" s="15" t="str">
        <f aca="false">IF(L37="","",INDEX('Referral Fees'!I32:BP32,1,L37))</f>
        <v/>
      </c>
      <c r="N37" s="16" t="n">
        <f aca="false">IF(OR(J37&gt;0,L37&lt;&gt;""),1,0)</f>
        <v>0</v>
      </c>
      <c r="O37" s="16" t="str">
        <f aca="false">IF(N37=1,SUM(N17:N37),"")</f>
        <v/>
      </c>
      <c r="P37" s="16" t="str">
        <f aca="false">IF(H37&gt;H13,"",MATCH(H37,O17:O66,0))</f>
        <v/>
      </c>
    </row>
    <row r="38" customFormat="false" ht="15" hidden="false" customHeight="false" outlineLevel="0" collapsed="false">
      <c r="A38" s="5" t="str">
        <f aca="false">IF(P38="","",INDEX(Loans!B12:B61,P38))</f>
        <v/>
      </c>
      <c r="B38" s="41" t="str">
        <f aca="false">IF(P38="","",INDEX(I17:I66,P38))</f>
        <v/>
      </c>
      <c r="C38" s="42" t="str">
        <f aca="false">IF(P38="","",INDEX(J17:J66,P38))</f>
        <v/>
      </c>
      <c r="D38" s="41" t="str">
        <f aca="false">IF(P38="","",INDEX(L17:L66,P38))</f>
        <v/>
      </c>
      <c r="E38" s="42" t="str">
        <f aca="false">IF(P38="","",INDEX(M17:M66,P38))</f>
        <v/>
      </c>
      <c r="F38" s="43" t="str">
        <f aca="false">IF(P38="","",SUM(C38,E38))</f>
        <v/>
      </c>
      <c r="H38" s="16" t="n">
        <v>22</v>
      </c>
      <c r="I38" s="16" t="str">
        <f aca="false">IF(Loans!A33="","",Loans!A33)</f>
        <v/>
      </c>
      <c r="J38" s="31" t="n">
        <f aca="false">IF(AND(Loans!C33="Closed",YEAR(Loans!D33)=YEAR(B8),MONTH(Loans!D33)=MONTH(B8)),SUM(Loans!M33,Loans!N33),0)</f>
        <v>0</v>
      </c>
      <c r="K38" s="16" t="str">
        <f aca="false">IF(OR(Loans!C33&lt;&gt;"Closed",Loans!E33=""),"",(YEAR(B8)-YEAR(Loans!E33))*12+MONTH(B8)-MONTH(Loans!E33)+1)</f>
        <v/>
      </c>
      <c r="L38" s="16" t="str">
        <f aca="false">IF(K38="","",IF(AND(K38&gt;=1,K38&lt;=Loans!I33),K38,""))</f>
        <v/>
      </c>
      <c r="M38" s="15" t="str">
        <f aca="false">IF(L38="","",INDEX('Referral Fees'!I33:BP33,1,L38))</f>
        <v/>
      </c>
      <c r="N38" s="16" t="n">
        <f aca="false">IF(OR(J38&gt;0,L38&lt;&gt;""),1,0)</f>
        <v>0</v>
      </c>
      <c r="O38" s="16" t="str">
        <f aca="false">IF(N38=1,SUM(N17:N38),"")</f>
        <v/>
      </c>
      <c r="P38" s="16" t="str">
        <f aca="false">IF(H38&gt;H13,"",MATCH(H38,O17:O66,0))</f>
        <v/>
      </c>
    </row>
    <row r="39" customFormat="false" ht="15" hidden="false" customHeight="false" outlineLevel="0" collapsed="false">
      <c r="A39" s="5" t="str">
        <f aca="false">IF(P39="","",INDEX(Loans!B12:B61,P39))</f>
        <v/>
      </c>
      <c r="B39" s="41" t="str">
        <f aca="false">IF(P39="","",INDEX(I17:I66,P39))</f>
        <v/>
      </c>
      <c r="C39" s="42" t="str">
        <f aca="false">IF(P39="","",INDEX(J17:J66,P39))</f>
        <v/>
      </c>
      <c r="D39" s="41" t="str">
        <f aca="false">IF(P39="","",INDEX(L17:L66,P39))</f>
        <v/>
      </c>
      <c r="E39" s="42" t="str">
        <f aca="false">IF(P39="","",INDEX(M17:M66,P39))</f>
        <v/>
      </c>
      <c r="F39" s="43" t="str">
        <f aca="false">IF(P39="","",SUM(C39,E39))</f>
        <v/>
      </c>
      <c r="H39" s="16" t="n">
        <v>23</v>
      </c>
      <c r="I39" s="16" t="str">
        <f aca="false">IF(Loans!A34="","",Loans!A34)</f>
        <v/>
      </c>
      <c r="J39" s="31" t="n">
        <f aca="false">IF(AND(Loans!C34="Closed",YEAR(Loans!D34)=YEAR(B8),MONTH(Loans!D34)=MONTH(B8)),SUM(Loans!M34,Loans!N34),0)</f>
        <v>0</v>
      </c>
      <c r="K39" s="16" t="str">
        <f aca="false">IF(OR(Loans!C34&lt;&gt;"Closed",Loans!E34=""),"",(YEAR(B8)-YEAR(Loans!E34))*12+MONTH(B8)-MONTH(Loans!E34)+1)</f>
        <v/>
      </c>
      <c r="L39" s="16" t="str">
        <f aca="false">IF(K39="","",IF(AND(K39&gt;=1,K39&lt;=Loans!I34),K39,""))</f>
        <v/>
      </c>
      <c r="M39" s="15" t="str">
        <f aca="false">IF(L39="","",INDEX('Referral Fees'!I34:BP34,1,L39))</f>
        <v/>
      </c>
      <c r="N39" s="16" t="n">
        <f aca="false">IF(OR(J39&gt;0,L39&lt;&gt;""),1,0)</f>
        <v>0</v>
      </c>
      <c r="O39" s="16" t="str">
        <f aca="false">IF(N39=1,SUM(N17:N39),"")</f>
        <v/>
      </c>
      <c r="P39" s="16" t="str">
        <f aca="false">IF(H39&gt;H13,"",MATCH(H39,O17:O66,0))</f>
        <v/>
      </c>
    </row>
    <row r="40" customFormat="false" ht="15" hidden="false" customHeight="false" outlineLevel="0" collapsed="false">
      <c r="A40" s="5" t="str">
        <f aca="false">IF(P40="","",INDEX(Loans!B12:B61,P40))</f>
        <v/>
      </c>
      <c r="B40" s="41" t="str">
        <f aca="false">IF(P40="","",INDEX(I17:I66,P40))</f>
        <v/>
      </c>
      <c r="C40" s="42" t="str">
        <f aca="false">IF(P40="","",INDEX(J17:J66,P40))</f>
        <v/>
      </c>
      <c r="D40" s="41" t="str">
        <f aca="false">IF(P40="","",INDEX(L17:L66,P40))</f>
        <v/>
      </c>
      <c r="E40" s="42" t="str">
        <f aca="false">IF(P40="","",INDEX(M17:M66,P40))</f>
        <v/>
      </c>
      <c r="F40" s="43" t="str">
        <f aca="false">IF(P40="","",SUM(C40,E40))</f>
        <v/>
      </c>
      <c r="H40" s="16" t="n">
        <v>24</v>
      </c>
      <c r="I40" s="16" t="str">
        <f aca="false">IF(Loans!A35="","",Loans!A35)</f>
        <v/>
      </c>
      <c r="J40" s="31" t="n">
        <f aca="false">IF(AND(Loans!C35="Closed",YEAR(Loans!D35)=YEAR(B8),MONTH(Loans!D35)=MONTH(B8)),SUM(Loans!M35,Loans!N35),0)</f>
        <v>0</v>
      </c>
      <c r="K40" s="16" t="str">
        <f aca="false">IF(OR(Loans!C35&lt;&gt;"Closed",Loans!E35=""),"",(YEAR(B8)-YEAR(Loans!E35))*12+MONTH(B8)-MONTH(Loans!E35)+1)</f>
        <v/>
      </c>
      <c r="L40" s="16" t="str">
        <f aca="false">IF(K40="","",IF(AND(K40&gt;=1,K40&lt;=Loans!I35),K40,""))</f>
        <v/>
      </c>
      <c r="M40" s="15" t="str">
        <f aca="false">IF(L40="","",INDEX('Referral Fees'!I35:BP35,1,L40))</f>
        <v/>
      </c>
      <c r="N40" s="16" t="n">
        <f aca="false">IF(OR(J40&gt;0,L40&lt;&gt;""),1,0)</f>
        <v>0</v>
      </c>
      <c r="O40" s="16" t="str">
        <f aca="false">IF(N40=1,SUM(N17:N40),"")</f>
        <v/>
      </c>
      <c r="P40" s="16" t="str">
        <f aca="false">IF(H40&gt;H13,"",MATCH(H40,O17:O66,0))</f>
        <v/>
      </c>
    </row>
    <row r="41" customFormat="false" ht="15" hidden="false" customHeight="false" outlineLevel="0" collapsed="false">
      <c r="A41" s="5" t="str">
        <f aca="false">IF(P41="","",INDEX(Loans!B12:B61,P41))</f>
        <v/>
      </c>
      <c r="B41" s="41" t="str">
        <f aca="false">IF(P41="","",INDEX(I17:I66,P41))</f>
        <v/>
      </c>
      <c r="C41" s="42" t="str">
        <f aca="false">IF(P41="","",INDEX(J17:J66,P41))</f>
        <v/>
      </c>
      <c r="D41" s="41" t="str">
        <f aca="false">IF(P41="","",INDEX(L17:L66,P41))</f>
        <v/>
      </c>
      <c r="E41" s="42" t="str">
        <f aca="false">IF(P41="","",INDEX(M17:M66,P41))</f>
        <v/>
      </c>
      <c r="F41" s="43" t="str">
        <f aca="false">IF(P41="","",SUM(C41,E41))</f>
        <v/>
      </c>
      <c r="H41" s="16" t="n">
        <v>25</v>
      </c>
      <c r="I41" s="16" t="str">
        <f aca="false">IF(Loans!A36="","",Loans!A36)</f>
        <v/>
      </c>
      <c r="J41" s="31" t="n">
        <f aca="false">IF(AND(Loans!C36="Closed",YEAR(Loans!D36)=YEAR(B8),MONTH(Loans!D36)=MONTH(B8)),SUM(Loans!M36,Loans!N36),0)</f>
        <v>0</v>
      </c>
      <c r="K41" s="16" t="str">
        <f aca="false">IF(OR(Loans!C36&lt;&gt;"Closed",Loans!E36=""),"",(YEAR(B8)-YEAR(Loans!E36))*12+MONTH(B8)-MONTH(Loans!E36)+1)</f>
        <v/>
      </c>
      <c r="L41" s="16" t="str">
        <f aca="false">IF(K41="","",IF(AND(K41&gt;=1,K41&lt;=Loans!I36),K41,""))</f>
        <v/>
      </c>
      <c r="M41" s="15" t="str">
        <f aca="false">IF(L41="","",INDEX('Referral Fees'!I36:BP36,1,L41))</f>
        <v/>
      </c>
      <c r="N41" s="16" t="n">
        <f aca="false">IF(OR(J41&gt;0,L41&lt;&gt;""),1,0)</f>
        <v>0</v>
      </c>
      <c r="O41" s="16" t="str">
        <f aca="false">IF(N41=1,SUM(N17:N41),"")</f>
        <v/>
      </c>
      <c r="P41" s="16" t="str">
        <f aca="false">IF(H41&gt;H13,"",MATCH(H41,O17:O66,0))</f>
        <v/>
      </c>
    </row>
    <row r="42" customFormat="false" ht="15" hidden="false" customHeight="false" outlineLevel="0" collapsed="false">
      <c r="A42" s="5" t="str">
        <f aca="false">IF(P42="","",INDEX(Loans!B12:B61,P42))</f>
        <v/>
      </c>
      <c r="B42" s="41" t="str">
        <f aca="false">IF(P42="","",INDEX(I17:I66,P42))</f>
        <v/>
      </c>
      <c r="C42" s="42" t="str">
        <f aca="false">IF(P42="","",INDEX(J17:J66,P42))</f>
        <v/>
      </c>
      <c r="D42" s="41" t="str">
        <f aca="false">IF(P42="","",INDEX(L17:L66,P42))</f>
        <v/>
      </c>
      <c r="E42" s="42" t="str">
        <f aca="false">IF(P42="","",INDEX(M17:M66,P42))</f>
        <v/>
      </c>
      <c r="F42" s="43" t="str">
        <f aca="false">IF(P42="","",SUM(C42,E42))</f>
        <v/>
      </c>
      <c r="H42" s="16" t="n">
        <v>26</v>
      </c>
      <c r="I42" s="16" t="str">
        <f aca="false">IF(Loans!A37="","",Loans!A37)</f>
        <v/>
      </c>
      <c r="J42" s="31" t="n">
        <f aca="false">IF(AND(Loans!C37="Closed",YEAR(Loans!D37)=YEAR(B8),MONTH(Loans!D37)=MONTH(B8)),SUM(Loans!M37,Loans!N37),0)</f>
        <v>0</v>
      </c>
      <c r="K42" s="16" t="str">
        <f aca="false">IF(OR(Loans!C37&lt;&gt;"Closed",Loans!E37=""),"",(YEAR(B8)-YEAR(Loans!E37))*12+MONTH(B8)-MONTH(Loans!E37)+1)</f>
        <v/>
      </c>
      <c r="L42" s="16" t="str">
        <f aca="false">IF(K42="","",IF(AND(K42&gt;=1,K42&lt;=Loans!I37),K42,""))</f>
        <v/>
      </c>
      <c r="M42" s="15" t="str">
        <f aca="false">IF(L42="","",INDEX('Referral Fees'!I37:BP37,1,L42))</f>
        <v/>
      </c>
      <c r="N42" s="16" t="n">
        <f aca="false">IF(OR(J42&gt;0,L42&lt;&gt;""),1,0)</f>
        <v>0</v>
      </c>
      <c r="O42" s="16" t="str">
        <f aca="false">IF(N42=1,SUM(N17:N42),"")</f>
        <v/>
      </c>
      <c r="P42" s="16" t="str">
        <f aca="false">IF(H42&gt;H13,"",MATCH(H42,O17:O66,0))</f>
        <v/>
      </c>
    </row>
    <row r="43" customFormat="false" ht="15" hidden="false" customHeight="false" outlineLevel="0" collapsed="false">
      <c r="A43" s="5" t="str">
        <f aca="false">IF(P43="","",INDEX(Loans!B12:B61,P43))</f>
        <v/>
      </c>
      <c r="B43" s="41" t="str">
        <f aca="false">IF(P43="","",INDEX(I17:I66,P43))</f>
        <v/>
      </c>
      <c r="C43" s="42" t="str">
        <f aca="false">IF(P43="","",INDEX(J17:J66,P43))</f>
        <v/>
      </c>
      <c r="D43" s="41" t="str">
        <f aca="false">IF(P43="","",INDEX(L17:L66,P43))</f>
        <v/>
      </c>
      <c r="E43" s="42" t="str">
        <f aca="false">IF(P43="","",INDEX(M17:M66,P43))</f>
        <v/>
      </c>
      <c r="F43" s="43" t="str">
        <f aca="false">IF(P43="","",SUM(C43,E43))</f>
        <v/>
      </c>
      <c r="H43" s="16" t="n">
        <v>27</v>
      </c>
      <c r="I43" s="16" t="str">
        <f aca="false">IF(Loans!A38="","",Loans!A38)</f>
        <v/>
      </c>
      <c r="J43" s="31" t="n">
        <f aca="false">IF(AND(Loans!C38="Closed",YEAR(Loans!D38)=YEAR(B8),MONTH(Loans!D38)=MONTH(B8)),SUM(Loans!M38,Loans!N38),0)</f>
        <v>0</v>
      </c>
      <c r="K43" s="16" t="str">
        <f aca="false">IF(OR(Loans!C38&lt;&gt;"Closed",Loans!E38=""),"",(YEAR(B8)-YEAR(Loans!E38))*12+MONTH(B8)-MONTH(Loans!E38)+1)</f>
        <v/>
      </c>
      <c r="L43" s="16" t="str">
        <f aca="false">IF(K43="","",IF(AND(K43&gt;=1,K43&lt;=Loans!I38),K43,""))</f>
        <v/>
      </c>
      <c r="M43" s="15" t="str">
        <f aca="false">IF(L43="","",INDEX('Referral Fees'!I38:BP38,1,L43))</f>
        <v/>
      </c>
      <c r="N43" s="16" t="n">
        <f aca="false">IF(OR(J43&gt;0,L43&lt;&gt;""),1,0)</f>
        <v>0</v>
      </c>
      <c r="O43" s="16" t="str">
        <f aca="false">IF(N43=1,SUM(N17:N43),"")</f>
        <v/>
      </c>
      <c r="P43" s="16" t="str">
        <f aca="false">IF(H43&gt;H13,"",MATCH(H43,O17:O66,0))</f>
        <v/>
      </c>
    </row>
    <row r="44" customFormat="false" ht="15" hidden="false" customHeight="false" outlineLevel="0" collapsed="false">
      <c r="A44" s="5" t="str">
        <f aca="false">IF(P44="","",INDEX(Loans!B12:B61,P44))</f>
        <v/>
      </c>
      <c r="B44" s="41" t="str">
        <f aca="false">IF(P44="","",INDEX(I17:I66,P44))</f>
        <v/>
      </c>
      <c r="C44" s="42" t="str">
        <f aca="false">IF(P44="","",INDEX(J17:J66,P44))</f>
        <v/>
      </c>
      <c r="D44" s="41" t="str">
        <f aca="false">IF(P44="","",INDEX(L17:L66,P44))</f>
        <v/>
      </c>
      <c r="E44" s="42" t="str">
        <f aca="false">IF(P44="","",INDEX(M17:M66,P44))</f>
        <v/>
      </c>
      <c r="F44" s="43" t="str">
        <f aca="false">IF(P44="","",SUM(C44,E44))</f>
        <v/>
      </c>
      <c r="H44" s="16" t="n">
        <v>28</v>
      </c>
      <c r="I44" s="16" t="str">
        <f aca="false">IF(Loans!A39="","",Loans!A39)</f>
        <v/>
      </c>
      <c r="J44" s="31" t="n">
        <f aca="false">IF(AND(Loans!C39="Closed",YEAR(Loans!D39)=YEAR(B8),MONTH(Loans!D39)=MONTH(B8)),SUM(Loans!M39,Loans!N39),0)</f>
        <v>0</v>
      </c>
      <c r="K44" s="16" t="str">
        <f aca="false">IF(OR(Loans!C39&lt;&gt;"Closed",Loans!E39=""),"",(YEAR(B8)-YEAR(Loans!E39))*12+MONTH(B8)-MONTH(Loans!E39)+1)</f>
        <v/>
      </c>
      <c r="L44" s="16" t="str">
        <f aca="false">IF(K44="","",IF(AND(K44&gt;=1,K44&lt;=Loans!I39),K44,""))</f>
        <v/>
      </c>
      <c r="M44" s="15" t="str">
        <f aca="false">IF(L44="","",INDEX('Referral Fees'!I39:BP39,1,L44))</f>
        <v/>
      </c>
      <c r="N44" s="16" t="n">
        <f aca="false">IF(OR(J44&gt;0,L44&lt;&gt;""),1,0)</f>
        <v>0</v>
      </c>
      <c r="O44" s="16" t="str">
        <f aca="false">IF(N44=1,SUM(N17:N44),"")</f>
        <v/>
      </c>
      <c r="P44" s="16" t="str">
        <f aca="false">IF(H44&gt;H13,"",MATCH(H44,O17:O66,0))</f>
        <v/>
      </c>
    </row>
    <row r="45" customFormat="false" ht="15" hidden="false" customHeight="false" outlineLevel="0" collapsed="false">
      <c r="A45" s="5" t="str">
        <f aca="false">IF(P45="","",INDEX(Loans!B12:B61,P45))</f>
        <v/>
      </c>
      <c r="B45" s="41" t="str">
        <f aca="false">IF(P45="","",INDEX(I17:I66,P45))</f>
        <v/>
      </c>
      <c r="C45" s="42" t="str">
        <f aca="false">IF(P45="","",INDEX(J17:J66,P45))</f>
        <v/>
      </c>
      <c r="D45" s="41" t="str">
        <f aca="false">IF(P45="","",INDEX(L17:L66,P45))</f>
        <v/>
      </c>
      <c r="E45" s="42" t="str">
        <f aca="false">IF(P45="","",INDEX(M17:M66,P45))</f>
        <v/>
      </c>
      <c r="F45" s="43" t="str">
        <f aca="false">IF(P45="","",SUM(C45,E45))</f>
        <v/>
      </c>
      <c r="H45" s="16" t="n">
        <v>29</v>
      </c>
      <c r="I45" s="16" t="str">
        <f aca="false">IF(Loans!A40="","",Loans!A40)</f>
        <v/>
      </c>
      <c r="J45" s="31" t="n">
        <f aca="false">IF(AND(Loans!C40="Closed",YEAR(Loans!D40)=YEAR(B8),MONTH(Loans!D40)=MONTH(B8)),SUM(Loans!M40,Loans!N40),0)</f>
        <v>0</v>
      </c>
      <c r="K45" s="16" t="str">
        <f aca="false">IF(OR(Loans!C40&lt;&gt;"Closed",Loans!E40=""),"",(YEAR(B8)-YEAR(Loans!E40))*12+MONTH(B8)-MONTH(Loans!E40)+1)</f>
        <v/>
      </c>
      <c r="L45" s="16" t="str">
        <f aca="false">IF(K45="","",IF(AND(K45&gt;=1,K45&lt;=Loans!I40),K45,""))</f>
        <v/>
      </c>
      <c r="M45" s="15" t="str">
        <f aca="false">IF(L45="","",INDEX('Referral Fees'!I40:BP40,1,L45))</f>
        <v/>
      </c>
      <c r="N45" s="16" t="n">
        <f aca="false">IF(OR(J45&gt;0,L45&lt;&gt;""),1,0)</f>
        <v>0</v>
      </c>
      <c r="O45" s="16" t="str">
        <f aca="false">IF(N45=1,SUM(N17:N45),"")</f>
        <v/>
      </c>
      <c r="P45" s="16" t="str">
        <f aca="false">IF(H45&gt;H13,"",MATCH(H45,O17:O66,0))</f>
        <v/>
      </c>
    </row>
    <row r="46" customFormat="false" ht="15" hidden="false" customHeight="false" outlineLevel="0" collapsed="false">
      <c r="A46" s="5" t="str">
        <f aca="false">IF(P46="","",INDEX(Loans!B12:B61,P46))</f>
        <v/>
      </c>
      <c r="B46" s="41" t="str">
        <f aca="false">IF(P46="","",INDEX(I17:I66,P46))</f>
        <v/>
      </c>
      <c r="C46" s="42" t="str">
        <f aca="false">IF(P46="","",INDEX(J17:J66,P46))</f>
        <v/>
      </c>
      <c r="D46" s="41" t="str">
        <f aca="false">IF(P46="","",INDEX(L17:L66,P46))</f>
        <v/>
      </c>
      <c r="E46" s="42" t="str">
        <f aca="false">IF(P46="","",INDEX(M17:M66,P46))</f>
        <v/>
      </c>
      <c r="F46" s="43" t="str">
        <f aca="false">IF(P46="","",SUM(C46,E46))</f>
        <v/>
      </c>
      <c r="H46" s="16" t="n">
        <v>30</v>
      </c>
      <c r="I46" s="16" t="str">
        <f aca="false">IF(Loans!A41="","",Loans!A41)</f>
        <v/>
      </c>
      <c r="J46" s="31" t="n">
        <f aca="false">IF(AND(Loans!C41="Closed",YEAR(Loans!D41)=YEAR(B8),MONTH(Loans!D41)=MONTH(B8)),SUM(Loans!M41,Loans!N41),0)</f>
        <v>0</v>
      </c>
      <c r="K46" s="16" t="str">
        <f aca="false">IF(OR(Loans!C41&lt;&gt;"Closed",Loans!E41=""),"",(YEAR(B8)-YEAR(Loans!E41))*12+MONTH(B8)-MONTH(Loans!E41)+1)</f>
        <v/>
      </c>
      <c r="L46" s="16" t="str">
        <f aca="false">IF(K46="","",IF(AND(K46&gt;=1,K46&lt;=Loans!I41),K46,""))</f>
        <v/>
      </c>
      <c r="M46" s="15" t="str">
        <f aca="false">IF(L46="","",INDEX('Referral Fees'!I41:BP41,1,L46))</f>
        <v/>
      </c>
      <c r="N46" s="16" t="n">
        <f aca="false">IF(OR(J46&gt;0,L46&lt;&gt;""),1,0)</f>
        <v>0</v>
      </c>
      <c r="O46" s="16" t="str">
        <f aca="false">IF(N46=1,SUM(N17:N46),"")</f>
        <v/>
      </c>
      <c r="P46" s="16" t="str">
        <f aca="false">IF(H46&gt;H13,"",MATCH(H46,O17:O66,0))</f>
        <v/>
      </c>
    </row>
    <row r="47" customFormat="false" ht="15" hidden="false" customHeight="false" outlineLevel="0" collapsed="false">
      <c r="A47" s="5" t="str">
        <f aca="false">IF(P47="","",INDEX(Loans!B12:B61,P47))</f>
        <v/>
      </c>
      <c r="B47" s="41" t="str">
        <f aca="false">IF(P47="","",INDEX(I17:I66,P47))</f>
        <v/>
      </c>
      <c r="C47" s="42" t="str">
        <f aca="false">IF(P47="","",INDEX(J17:J66,P47))</f>
        <v/>
      </c>
      <c r="D47" s="41" t="str">
        <f aca="false">IF(P47="","",INDEX(L17:L66,P47))</f>
        <v/>
      </c>
      <c r="E47" s="42" t="str">
        <f aca="false">IF(P47="","",INDEX(M17:M66,P47))</f>
        <v/>
      </c>
      <c r="F47" s="43" t="str">
        <f aca="false">IF(P47="","",SUM(C47,E47))</f>
        <v/>
      </c>
      <c r="H47" s="16" t="n">
        <v>31</v>
      </c>
      <c r="I47" s="16" t="str">
        <f aca="false">IF(Loans!A42="","",Loans!A42)</f>
        <v/>
      </c>
      <c r="J47" s="31" t="n">
        <f aca="false">IF(AND(Loans!C42="Closed",YEAR(Loans!D42)=YEAR(B8),MONTH(Loans!D42)=MONTH(B8)),SUM(Loans!M42,Loans!N42),0)</f>
        <v>0</v>
      </c>
      <c r="K47" s="16" t="str">
        <f aca="false">IF(OR(Loans!C42&lt;&gt;"Closed",Loans!E42=""),"",(YEAR(B8)-YEAR(Loans!E42))*12+MONTH(B8)-MONTH(Loans!E42)+1)</f>
        <v/>
      </c>
      <c r="L47" s="16" t="str">
        <f aca="false">IF(K47="","",IF(AND(K47&gt;=1,K47&lt;=Loans!I42),K47,""))</f>
        <v/>
      </c>
      <c r="M47" s="15" t="str">
        <f aca="false">IF(L47="","",INDEX('Referral Fees'!I42:BP42,1,L47))</f>
        <v/>
      </c>
      <c r="N47" s="16" t="n">
        <f aca="false">IF(OR(J47&gt;0,L47&lt;&gt;""),1,0)</f>
        <v>0</v>
      </c>
      <c r="O47" s="16" t="str">
        <f aca="false">IF(N47=1,SUM(N17:N47),"")</f>
        <v/>
      </c>
      <c r="P47" s="16" t="str">
        <f aca="false">IF(H47&gt;H13,"",MATCH(H47,O17:O66,0))</f>
        <v/>
      </c>
    </row>
    <row r="48" customFormat="false" ht="15" hidden="false" customHeight="false" outlineLevel="0" collapsed="false">
      <c r="A48" s="5" t="str">
        <f aca="false">IF(P48="","",INDEX(Loans!B12:B61,P48))</f>
        <v/>
      </c>
      <c r="B48" s="41" t="str">
        <f aca="false">IF(P48="","",INDEX(I17:I66,P48))</f>
        <v/>
      </c>
      <c r="C48" s="42" t="str">
        <f aca="false">IF(P48="","",INDEX(J17:J66,P48))</f>
        <v/>
      </c>
      <c r="D48" s="41" t="str">
        <f aca="false">IF(P48="","",INDEX(L17:L66,P48))</f>
        <v/>
      </c>
      <c r="E48" s="42" t="str">
        <f aca="false">IF(P48="","",INDEX(M17:M66,P48))</f>
        <v/>
      </c>
      <c r="F48" s="43" t="str">
        <f aca="false">IF(P48="","",SUM(C48,E48))</f>
        <v/>
      </c>
      <c r="H48" s="16" t="n">
        <v>32</v>
      </c>
      <c r="I48" s="16" t="str">
        <f aca="false">IF(Loans!A43="","",Loans!A43)</f>
        <v/>
      </c>
      <c r="J48" s="31" t="n">
        <f aca="false">IF(AND(Loans!C43="Closed",YEAR(Loans!D43)=YEAR(B8),MONTH(Loans!D43)=MONTH(B8)),SUM(Loans!M43,Loans!N43),0)</f>
        <v>0</v>
      </c>
      <c r="K48" s="16" t="str">
        <f aca="false">IF(OR(Loans!C43&lt;&gt;"Closed",Loans!E43=""),"",(YEAR(B8)-YEAR(Loans!E43))*12+MONTH(B8)-MONTH(Loans!E43)+1)</f>
        <v/>
      </c>
      <c r="L48" s="16" t="str">
        <f aca="false">IF(K48="","",IF(AND(K48&gt;=1,K48&lt;=Loans!I43),K48,""))</f>
        <v/>
      </c>
      <c r="M48" s="15" t="str">
        <f aca="false">IF(L48="","",INDEX('Referral Fees'!I43:BP43,1,L48))</f>
        <v/>
      </c>
      <c r="N48" s="16" t="n">
        <f aca="false">IF(OR(J48&gt;0,L48&lt;&gt;""),1,0)</f>
        <v>0</v>
      </c>
      <c r="O48" s="16" t="str">
        <f aca="false">IF(N48=1,SUM(N17:N48),"")</f>
        <v/>
      </c>
      <c r="P48" s="16" t="str">
        <f aca="false">IF(H48&gt;H13,"",MATCH(H48,O17:O66,0))</f>
        <v/>
      </c>
    </row>
    <row r="49" customFormat="false" ht="15" hidden="false" customHeight="false" outlineLevel="0" collapsed="false">
      <c r="A49" s="5" t="str">
        <f aca="false">IF(P49="","",INDEX(Loans!B12:B61,P49))</f>
        <v/>
      </c>
      <c r="B49" s="41" t="str">
        <f aca="false">IF(P49="","",INDEX(I17:I66,P49))</f>
        <v/>
      </c>
      <c r="C49" s="42" t="str">
        <f aca="false">IF(P49="","",INDEX(J17:J66,P49))</f>
        <v/>
      </c>
      <c r="D49" s="41" t="str">
        <f aca="false">IF(P49="","",INDEX(L17:L66,P49))</f>
        <v/>
      </c>
      <c r="E49" s="42" t="str">
        <f aca="false">IF(P49="","",INDEX(M17:M66,P49))</f>
        <v/>
      </c>
      <c r="F49" s="43" t="str">
        <f aca="false">IF(P49="","",SUM(C49,E49))</f>
        <v/>
      </c>
      <c r="H49" s="16" t="n">
        <v>33</v>
      </c>
      <c r="I49" s="16" t="str">
        <f aca="false">IF(Loans!A44="","",Loans!A44)</f>
        <v/>
      </c>
      <c r="J49" s="31" t="n">
        <f aca="false">IF(AND(Loans!C44="Closed",YEAR(Loans!D44)=YEAR(B8),MONTH(Loans!D44)=MONTH(B8)),SUM(Loans!M44,Loans!N44),0)</f>
        <v>0</v>
      </c>
      <c r="K49" s="16" t="str">
        <f aca="false">IF(OR(Loans!C44&lt;&gt;"Closed",Loans!E44=""),"",(YEAR(B8)-YEAR(Loans!E44))*12+MONTH(B8)-MONTH(Loans!E44)+1)</f>
        <v/>
      </c>
      <c r="L49" s="16" t="str">
        <f aca="false">IF(K49="","",IF(AND(K49&gt;=1,K49&lt;=Loans!I44),K49,""))</f>
        <v/>
      </c>
      <c r="M49" s="15" t="str">
        <f aca="false">IF(L49="","",INDEX('Referral Fees'!I44:BP44,1,L49))</f>
        <v/>
      </c>
      <c r="N49" s="16" t="n">
        <f aca="false">IF(OR(J49&gt;0,L49&lt;&gt;""),1,0)</f>
        <v>0</v>
      </c>
      <c r="O49" s="16" t="str">
        <f aca="false">IF(N49=1,SUM(N17:N49),"")</f>
        <v/>
      </c>
      <c r="P49" s="16" t="str">
        <f aca="false">IF(H49&gt;H13,"",MATCH(H49,O17:O66,0))</f>
        <v/>
      </c>
    </row>
    <row r="50" customFormat="false" ht="15" hidden="false" customHeight="false" outlineLevel="0" collapsed="false">
      <c r="A50" s="5" t="str">
        <f aca="false">IF(P50="","",INDEX(Loans!B12:B61,P50))</f>
        <v/>
      </c>
      <c r="B50" s="41" t="str">
        <f aca="false">IF(P50="","",INDEX(I17:I66,P50))</f>
        <v/>
      </c>
      <c r="C50" s="42" t="str">
        <f aca="false">IF(P50="","",INDEX(J17:J66,P50))</f>
        <v/>
      </c>
      <c r="D50" s="41" t="str">
        <f aca="false">IF(P50="","",INDEX(L17:L66,P50))</f>
        <v/>
      </c>
      <c r="E50" s="42" t="str">
        <f aca="false">IF(P50="","",INDEX(M17:M66,P50))</f>
        <v/>
      </c>
      <c r="F50" s="43" t="str">
        <f aca="false">IF(P50="","",SUM(C50,E50))</f>
        <v/>
      </c>
      <c r="H50" s="16" t="n">
        <v>34</v>
      </c>
      <c r="I50" s="16" t="str">
        <f aca="false">IF(Loans!A45="","",Loans!A45)</f>
        <v/>
      </c>
      <c r="J50" s="31" t="n">
        <f aca="false">IF(AND(Loans!C45="Closed",YEAR(Loans!D45)=YEAR(B8),MONTH(Loans!D45)=MONTH(B8)),SUM(Loans!M45,Loans!N45),0)</f>
        <v>0</v>
      </c>
      <c r="K50" s="16" t="str">
        <f aca="false">IF(OR(Loans!C45&lt;&gt;"Closed",Loans!E45=""),"",(YEAR(B8)-YEAR(Loans!E45))*12+MONTH(B8)-MONTH(Loans!E45)+1)</f>
        <v/>
      </c>
      <c r="L50" s="16" t="str">
        <f aca="false">IF(K50="","",IF(AND(K50&gt;=1,K50&lt;=Loans!I45),K50,""))</f>
        <v/>
      </c>
      <c r="M50" s="15" t="str">
        <f aca="false">IF(L50="","",INDEX('Referral Fees'!I45:BP45,1,L50))</f>
        <v/>
      </c>
      <c r="N50" s="16" t="n">
        <f aca="false">IF(OR(J50&gt;0,L50&lt;&gt;""),1,0)</f>
        <v>0</v>
      </c>
      <c r="O50" s="16" t="str">
        <f aca="false">IF(N50=1,SUM(N17:N50),"")</f>
        <v/>
      </c>
      <c r="P50" s="16" t="str">
        <f aca="false">IF(H50&gt;H13,"",MATCH(H50,O17:O66,0))</f>
        <v/>
      </c>
    </row>
    <row r="51" customFormat="false" ht="15" hidden="false" customHeight="false" outlineLevel="0" collapsed="false">
      <c r="A51" s="5" t="str">
        <f aca="false">IF(P51="","",INDEX(Loans!B12:B61,P51))</f>
        <v/>
      </c>
      <c r="B51" s="41" t="str">
        <f aca="false">IF(P51="","",INDEX(I17:I66,P51))</f>
        <v/>
      </c>
      <c r="C51" s="42" t="str">
        <f aca="false">IF(P51="","",INDEX(J17:J66,P51))</f>
        <v/>
      </c>
      <c r="D51" s="41" t="str">
        <f aca="false">IF(P51="","",INDEX(L17:L66,P51))</f>
        <v/>
      </c>
      <c r="E51" s="42" t="str">
        <f aca="false">IF(P51="","",INDEX(M17:M66,P51))</f>
        <v/>
      </c>
      <c r="F51" s="43" t="str">
        <f aca="false">IF(P51="","",SUM(C51,E51))</f>
        <v/>
      </c>
      <c r="H51" s="16" t="n">
        <v>35</v>
      </c>
      <c r="I51" s="16" t="str">
        <f aca="false">IF(Loans!A46="","",Loans!A46)</f>
        <v/>
      </c>
      <c r="J51" s="31" t="n">
        <f aca="false">IF(AND(Loans!C46="Closed",YEAR(Loans!D46)=YEAR(B8),MONTH(Loans!D46)=MONTH(B8)),SUM(Loans!M46,Loans!N46),0)</f>
        <v>0</v>
      </c>
      <c r="K51" s="16" t="str">
        <f aca="false">IF(OR(Loans!C46&lt;&gt;"Closed",Loans!E46=""),"",(YEAR(B8)-YEAR(Loans!E46))*12+MONTH(B8)-MONTH(Loans!E46)+1)</f>
        <v/>
      </c>
      <c r="L51" s="16" t="str">
        <f aca="false">IF(K51="","",IF(AND(K51&gt;=1,K51&lt;=Loans!I46),K51,""))</f>
        <v/>
      </c>
      <c r="M51" s="15" t="str">
        <f aca="false">IF(L51="","",INDEX('Referral Fees'!I46:BP46,1,L51))</f>
        <v/>
      </c>
      <c r="N51" s="16" t="n">
        <f aca="false">IF(OR(J51&gt;0,L51&lt;&gt;""),1,0)</f>
        <v>0</v>
      </c>
      <c r="O51" s="16" t="str">
        <f aca="false">IF(N51=1,SUM(N17:N51),"")</f>
        <v/>
      </c>
      <c r="P51" s="16" t="str">
        <f aca="false">IF(H51&gt;H13,"",MATCH(H51,O17:O66,0))</f>
        <v/>
      </c>
    </row>
    <row r="52" customFormat="false" ht="15" hidden="false" customHeight="false" outlineLevel="0" collapsed="false">
      <c r="A52" s="5" t="str">
        <f aca="false">IF(P52="","",INDEX(Loans!B12:B61,P52))</f>
        <v/>
      </c>
      <c r="B52" s="41" t="str">
        <f aca="false">IF(P52="","",INDEX(I17:I66,P52))</f>
        <v/>
      </c>
      <c r="C52" s="42" t="str">
        <f aca="false">IF(P52="","",INDEX(J17:J66,P52))</f>
        <v/>
      </c>
      <c r="D52" s="41" t="str">
        <f aca="false">IF(P52="","",INDEX(L17:L66,P52))</f>
        <v/>
      </c>
      <c r="E52" s="42" t="str">
        <f aca="false">IF(P52="","",INDEX(M17:M66,P52))</f>
        <v/>
      </c>
      <c r="F52" s="43" t="str">
        <f aca="false">IF(P52="","",SUM(C52,E52))</f>
        <v/>
      </c>
      <c r="H52" s="16" t="n">
        <v>36</v>
      </c>
      <c r="I52" s="16" t="str">
        <f aca="false">IF(Loans!A47="","",Loans!A47)</f>
        <v/>
      </c>
      <c r="J52" s="31" t="n">
        <f aca="false">IF(AND(Loans!C47="Closed",YEAR(Loans!D47)=YEAR(B8),MONTH(Loans!D47)=MONTH(B8)),SUM(Loans!M47,Loans!N47),0)</f>
        <v>0</v>
      </c>
      <c r="K52" s="16" t="str">
        <f aca="false">IF(OR(Loans!C47&lt;&gt;"Closed",Loans!E47=""),"",(YEAR(B8)-YEAR(Loans!E47))*12+MONTH(B8)-MONTH(Loans!E47)+1)</f>
        <v/>
      </c>
      <c r="L52" s="16" t="str">
        <f aca="false">IF(K52="","",IF(AND(K52&gt;=1,K52&lt;=Loans!I47),K52,""))</f>
        <v/>
      </c>
      <c r="M52" s="15" t="str">
        <f aca="false">IF(L52="","",INDEX('Referral Fees'!I47:BP47,1,L52))</f>
        <v/>
      </c>
      <c r="N52" s="16" t="n">
        <f aca="false">IF(OR(J52&gt;0,L52&lt;&gt;""),1,0)</f>
        <v>0</v>
      </c>
      <c r="O52" s="16" t="str">
        <f aca="false">IF(N52=1,SUM(N17:N52),"")</f>
        <v/>
      </c>
      <c r="P52" s="16" t="str">
        <f aca="false">IF(H52&gt;H13,"",MATCH(H52,O17:O66,0))</f>
        <v/>
      </c>
    </row>
    <row r="53" customFormat="false" ht="15" hidden="false" customHeight="false" outlineLevel="0" collapsed="false">
      <c r="A53" s="5" t="str">
        <f aca="false">IF(P53="","",INDEX(Loans!B12:B61,P53))</f>
        <v/>
      </c>
      <c r="B53" s="41" t="str">
        <f aca="false">IF(P53="","",INDEX(I17:I66,P53))</f>
        <v/>
      </c>
      <c r="C53" s="42" t="str">
        <f aca="false">IF(P53="","",INDEX(J17:J66,P53))</f>
        <v/>
      </c>
      <c r="D53" s="41" t="str">
        <f aca="false">IF(P53="","",INDEX(L17:L66,P53))</f>
        <v/>
      </c>
      <c r="E53" s="42" t="str">
        <f aca="false">IF(P53="","",INDEX(M17:M66,P53))</f>
        <v/>
      </c>
      <c r="F53" s="43" t="str">
        <f aca="false">IF(P53="","",SUM(C53,E53))</f>
        <v/>
      </c>
      <c r="H53" s="16" t="n">
        <v>37</v>
      </c>
      <c r="I53" s="16" t="str">
        <f aca="false">IF(Loans!A48="","",Loans!A48)</f>
        <v/>
      </c>
      <c r="J53" s="31" t="n">
        <f aca="false">IF(AND(Loans!C48="Closed",YEAR(Loans!D48)=YEAR(B8),MONTH(Loans!D48)=MONTH(B8)),SUM(Loans!M48,Loans!N48),0)</f>
        <v>0</v>
      </c>
      <c r="K53" s="16" t="str">
        <f aca="false">IF(OR(Loans!C48&lt;&gt;"Closed",Loans!E48=""),"",(YEAR(B8)-YEAR(Loans!E48))*12+MONTH(B8)-MONTH(Loans!E48)+1)</f>
        <v/>
      </c>
      <c r="L53" s="16" t="str">
        <f aca="false">IF(K53="","",IF(AND(K53&gt;=1,K53&lt;=Loans!I48),K53,""))</f>
        <v/>
      </c>
      <c r="M53" s="15" t="str">
        <f aca="false">IF(L53="","",INDEX('Referral Fees'!I48:BP48,1,L53))</f>
        <v/>
      </c>
      <c r="N53" s="16" t="n">
        <f aca="false">IF(OR(J53&gt;0,L53&lt;&gt;""),1,0)</f>
        <v>0</v>
      </c>
      <c r="O53" s="16" t="str">
        <f aca="false">IF(N53=1,SUM(N17:N53),"")</f>
        <v/>
      </c>
      <c r="P53" s="16" t="str">
        <f aca="false">IF(H53&gt;H13,"",MATCH(H53,O17:O66,0))</f>
        <v/>
      </c>
    </row>
    <row r="54" customFormat="false" ht="15" hidden="false" customHeight="false" outlineLevel="0" collapsed="false">
      <c r="A54" s="5" t="str">
        <f aca="false">IF(P54="","",INDEX(Loans!B12:B61,P54))</f>
        <v/>
      </c>
      <c r="B54" s="41" t="str">
        <f aca="false">IF(P54="","",INDEX(I17:I66,P54))</f>
        <v/>
      </c>
      <c r="C54" s="42" t="str">
        <f aca="false">IF(P54="","",INDEX(J17:J66,P54))</f>
        <v/>
      </c>
      <c r="D54" s="41" t="str">
        <f aca="false">IF(P54="","",INDEX(L17:L66,P54))</f>
        <v/>
      </c>
      <c r="E54" s="42" t="str">
        <f aca="false">IF(P54="","",INDEX(M17:M66,P54))</f>
        <v/>
      </c>
      <c r="F54" s="43" t="str">
        <f aca="false">IF(P54="","",SUM(C54,E54))</f>
        <v/>
      </c>
      <c r="H54" s="16" t="n">
        <v>38</v>
      </c>
      <c r="I54" s="16" t="str">
        <f aca="false">IF(Loans!A49="","",Loans!A49)</f>
        <v/>
      </c>
      <c r="J54" s="31" t="n">
        <f aca="false">IF(AND(Loans!C49="Closed",YEAR(Loans!D49)=YEAR(B8),MONTH(Loans!D49)=MONTH(B8)),SUM(Loans!M49,Loans!N49),0)</f>
        <v>0</v>
      </c>
      <c r="K54" s="16" t="str">
        <f aca="false">IF(OR(Loans!C49&lt;&gt;"Closed",Loans!E49=""),"",(YEAR(B8)-YEAR(Loans!E49))*12+MONTH(B8)-MONTH(Loans!E49)+1)</f>
        <v/>
      </c>
      <c r="L54" s="16" t="str">
        <f aca="false">IF(K54="","",IF(AND(K54&gt;=1,K54&lt;=Loans!I49),K54,""))</f>
        <v/>
      </c>
      <c r="M54" s="15" t="str">
        <f aca="false">IF(L54="","",INDEX('Referral Fees'!I49:BP49,1,L54))</f>
        <v/>
      </c>
      <c r="N54" s="16" t="n">
        <f aca="false">IF(OR(J54&gt;0,L54&lt;&gt;""),1,0)</f>
        <v>0</v>
      </c>
      <c r="O54" s="16" t="str">
        <f aca="false">IF(N54=1,SUM(N17:N54),"")</f>
        <v/>
      </c>
      <c r="P54" s="16" t="str">
        <f aca="false">IF(H54&gt;H13,"",MATCH(H54,O17:O66,0))</f>
        <v/>
      </c>
    </row>
    <row r="55" customFormat="false" ht="15" hidden="false" customHeight="false" outlineLevel="0" collapsed="false">
      <c r="A55" s="5" t="str">
        <f aca="false">IF(P55="","",INDEX(Loans!B12:B61,P55))</f>
        <v/>
      </c>
      <c r="B55" s="41" t="str">
        <f aca="false">IF(P55="","",INDEX(I17:I66,P55))</f>
        <v/>
      </c>
      <c r="C55" s="42" t="str">
        <f aca="false">IF(P55="","",INDEX(J17:J66,P55))</f>
        <v/>
      </c>
      <c r="D55" s="41" t="str">
        <f aca="false">IF(P55="","",INDEX(L17:L66,P55))</f>
        <v/>
      </c>
      <c r="E55" s="42" t="str">
        <f aca="false">IF(P55="","",INDEX(M17:M66,P55))</f>
        <v/>
      </c>
      <c r="F55" s="43" t="str">
        <f aca="false">IF(P55="","",SUM(C55,E55))</f>
        <v/>
      </c>
      <c r="H55" s="16" t="n">
        <v>39</v>
      </c>
      <c r="I55" s="16" t="str">
        <f aca="false">IF(Loans!A50="","",Loans!A50)</f>
        <v/>
      </c>
      <c r="J55" s="31" t="n">
        <f aca="false">IF(AND(Loans!C50="Closed",YEAR(Loans!D50)=YEAR(B8),MONTH(Loans!D50)=MONTH(B8)),SUM(Loans!M50,Loans!N50),0)</f>
        <v>0</v>
      </c>
      <c r="K55" s="16" t="str">
        <f aca="false">IF(OR(Loans!C50&lt;&gt;"Closed",Loans!E50=""),"",(YEAR(B8)-YEAR(Loans!E50))*12+MONTH(B8)-MONTH(Loans!E50)+1)</f>
        <v/>
      </c>
      <c r="L55" s="16" t="str">
        <f aca="false">IF(K55="","",IF(AND(K55&gt;=1,K55&lt;=Loans!I50),K55,""))</f>
        <v/>
      </c>
      <c r="M55" s="15" t="str">
        <f aca="false">IF(L55="","",INDEX('Referral Fees'!I50:BP50,1,L55))</f>
        <v/>
      </c>
      <c r="N55" s="16" t="n">
        <f aca="false">IF(OR(J55&gt;0,L55&lt;&gt;""),1,0)</f>
        <v>0</v>
      </c>
      <c r="O55" s="16" t="str">
        <f aca="false">IF(N55=1,SUM(N17:N55),"")</f>
        <v/>
      </c>
      <c r="P55" s="16" t="str">
        <f aca="false">IF(H55&gt;H13,"",MATCH(H55,O17:O66,0))</f>
        <v/>
      </c>
    </row>
    <row r="56" customFormat="false" ht="15" hidden="false" customHeight="false" outlineLevel="0" collapsed="false">
      <c r="A56" s="5" t="str">
        <f aca="false">IF(P56="","",INDEX(Loans!B12:B61,P56))</f>
        <v/>
      </c>
      <c r="B56" s="41" t="str">
        <f aca="false">IF(P56="","",INDEX(I17:I66,P56))</f>
        <v/>
      </c>
      <c r="C56" s="42" t="str">
        <f aca="false">IF(P56="","",INDEX(J17:J66,P56))</f>
        <v/>
      </c>
      <c r="D56" s="41" t="str">
        <f aca="false">IF(P56="","",INDEX(L17:L66,P56))</f>
        <v/>
      </c>
      <c r="E56" s="42" t="str">
        <f aca="false">IF(P56="","",INDEX(M17:M66,P56))</f>
        <v/>
      </c>
      <c r="F56" s="43" t="str">
        <f aca="false">IF(P56="","",SUM(C56,E56))</f>
        <v/>
      </c>
      <c r="H56" s="16" t="n">
        <v>40</v>
      </c>
      <c r="I56" s="16" t="str">
        <f aca="false">IF(Loans!A51="","",Loans!A51)</f>
        <v/>
      </c>
      <c r="J56" s="31" t="n">
        <f aca="false">IF(AND(Loans!C51="Closed",YEAR(Loans!D51)=YEAR(B8),MONTH(Loans!D51)=MONTH(B8)),SUM(Loans!M51,Loans!N51),0)</f>
        <v>0</v>
      </c>
      <c r="K56" s="16" t="str">
        <f aca="false">IF(OR(Loans!C51&lt;&gt;"Closed",Loans!E51=""),"",(YEAR(B8)-YEAR(Loans!E51))*12+MONTH(B8)-MONTH(Loans!E51)+1)</f>
        <v/>
      </c>
      <c r="L56" s="16" t="str">
        <f aca="false">IF(K56="","",IF(AND(K56&gt;=1,K56&lt;=Loans!I51),K56,""))</f>
        <v/>
      </c>
      <c r="M56" s="15" t="str">
        <f aca="false">IF(L56="","",INDEX('Referral Fees'!I51:BP51,1,L56))</f>
        <v/>
      </c>
      <c r="N56" s="16" t="n">
        <f aca="false">IF(OR(J56&gt;0,L56&lt;&gt;""),1,0)</f>
        <v>0</v>
      </c>
      <c r="O56" s="16" t="str">
        <f aca="false">IF(N56=1,SUM(N17:N56),"")</f>
        <v/>
      </c>
      <c r="P56" s="16" t="str">
        <f aca="false">IF(H56&gt;H13,"",MATCH(H56,O17:O66,0))</f>
        <v/>
      </c>
    </row>
    <row r="57" customFormat="false" ht="15" hidden="false" customHeight="false" outlineLevel="0" collapsed="false">
      <c r="A57" s="5" t="str">
        <f aca="false">IF(P57="","",INDEX(Loans!B12:B61,P57))</f>
        <v/>
      </c>
      <c r="B57" s="41" t="str">
        <f aca="false">IF(P57="","",INDEX(I17:I66,P57))</f>
        <v/>
      </c>
      <c r="C57" s="42" t="str">
        <f aca="false">IF(P57="","",INDEX(J17:J66,P57))</f>
        <v/>
      </c>
      <c r="D57" s="41" t="str">
        <f aca="false">IF(P57="","",INDEX(L17:L66,P57))</f>
        <v/>
      </c>
      <c r="E57" s="42" t="str">
        <f aca="false">IF(P57="","",INDEX(M17:M66,P57))</f>
        <v/>
      </c>
      <c r="F57" s="43" t="str">
        <f aca="false">IF(P57="","",SUM(C57,E57))</f>
        <v/>
      </c>
      <c r="H57" s="16" t="n">
        <v>41</v>
      </c>
      <c r="I57" s="16" t="str">
        <f aca="false">IF(Loans!A52="","",Loans!A52)</f>
        <v/>
      </c>
      <c r="J57" s="31" t="n">
        <f aca="false">IF(AND(Loans!C52="Closed",YEAR(Loans!D52)=YEAR(B8),MONTH(Loans!D52)=MONTH(B8)),SUM(Loans!M52,Loans!N52),0)</f>
        <v>0</v>
      </c>
      <c r="K57" s="16" t="str">
        <f aca="false">IF(OR(Loans!C52&lt;&gt;"Closed",Loans!E52=""),"",(YEAR(B8)-YEAR(Loans!E52))*12+MONTH(B8)-MONTH(Loans!E52)+1)</f>
        <v/>
      </c>
      <c r="L57" s="16" t="str">
        <f aca="false">IF(K57="","",IF(AND(K57&gt;=1,K57&lt;=Loans!I52),K57,""))</f>
        <v/>
      </c>
      <c r="M57" s="15" t="str">
        <f aca="false">IF(L57="","",INDEX('Referral Fees'!I52:BP52,1,L57))</f>
        <v/>
      </c>
      <c r="N57" s="16" t="n">
        <f aca="false">IF(OR(J57&gt;0,L57&lt;&gt;""),1,0)</f>
        <v>0</v>
      </c>
      <c r="O57" s="16" t="str">
        <f aca="false">IF(N57=1,SUM(N17:N57),"")</f>
        <v/>
      </c>
      <c r="P57" s="16" t="str">
        <f aca="false">IF(H57&gt;H13,"",MATCH(H57,O17:O66,0))</f>
        <v/>
      </c>
    </row>
    <row r="58" customFormat="false" ht="15" hidden="false" customHeight="false" outlineLevel="0" collapsed="false">
      <c r="A58" s="5" t="str">
        <f aca="false">IF(P58="","",INDEX(Loans!B12:B61,P58))</f>
        <v/>
      </c>
      <c r="B58" s="41" t="str">
        <f aca="false">IF(P58="","",INDEX(I17:I66,P58))</f>
        <v/>
      </c>
      <c r="C58" s="42" t="str">
        <f aca="false">IF(P58="","",INDEX(J17:J66,P58))</f>
        <v/>
      </c>
      <c r="D58" s="41" t="str">
        <f aca="false">IF(P58="","",INDEX(L17:L66,P58))</f>
        <v/>
      </c>
      <c r="E58" s="42" t="str">
        <f aca="false">IF(P58="","",INDEX(M17:M66,P58))</f>
        <v/>
      </c>
      <c r="F58" s="43" t="str">
        <f aca="false">IF(P58="","",SUM(C58,E58))</f>
        <v/>
      </c>
      <c r="H58" s="16" t="n">
        <v>42</v>
      </c>
      <c r="I58" s="16" t="str">
        <f aca="false">IF(Loans!A53="","",Loans!A53)</f>
        <v/>
      </c>
      <c r="J58" s="31" t="n">
        <f aca="false">IF(AND(Loans!C53="Closed",YEAR(Loans!D53)=YEAR(B8),MONTH(Loans!D53)=MONTH(B8)),SUM(Loans!M53,Loans!N53),0)</f>
        <v>0</v>
      </c>
      <c r="K58" s="16" t="str">
        <f aca="false">IF(OR(Loans!C53&lt;&gt;"Closed",Loans!E53=""),"",(YEAR(B8)-YEAR(Loans!E53))*12+MONTH(B8)-MONTH(Loans!E53)+1)</f>
        <v/>
      </c>
      <c r="L58" s="16" t="str">
        <f aca="false">IF(K58="","",IF(AND(K58&gt;=1,K58&lt;=Loans!I53),K58,""))</f>
        <v/>
      </c>
      <c r="M58" s="15" t="str">
        <f aca="false">IF(L58="","",INDEX('Referral Fees'!I53:BP53,1,L58))</f>
        <v/>
      </c>
      <c r="N58" s="16" t="n">
        <f aca="false">IF(OR(J58&gt;0,L58&lt;&gt;""),1,0)</f>
        <v>0</v>
      </c>
      <c r="O58" s="16" t="str">
        <f aca="false">IF(N58=1,SUM(N17:N58),"")</f>
        <v/>
      </c>
      <c r="P58" s="16" t="str">
        <f aca="false">IF(H58&gt;H13,"",MATCH(H58,O17:O66,0))</f>
        <v/>
      </c>
    </row>
    <row r="59" customFormat="false" ht="15" hidden="false" customHeight="false" outlineLevel="0" collapsed="false">
      <c r="A59" s="5" t="str">
        <f aca="false">IF(P59="","",INDEX(Loans!B12:B61,P59))</f>
        <v/>
      </c>
      <c r="B59" s="41" t="str">
        <f aca="false">IF(P59="","",INDEX(I17:I66,P59))</f>
        <v/>
      </c>
      <c r="C59" s="42" t="str">
        <f aca="false">IF(P59="","",INDEX(J17:J66,P59))</f>
        <v/>
      </c>
      <c r="D59" s="41" t="str">
        <f aca="false">IF(P59="","",INDEX(L17:L66,P59))</f>
        <v/>
      </c>
      <c r="E59" s="42" t="str">
        <f aca="false">IF(P59="","",INDEX(M17:M66,P59))</f>
        <v/>
      </c>
      <c r="F59" s="43" t="str">
        <f aca="false">IF(P59="","",SUM(C59,E59))</f>
        <v/>
      </c>
      <c r="H59" s="16" t="n">
        <v>43</v>
      </c>
      <c r="I59" s="16" t="str">
        <f aca="false">IF(Loans!A54="","",Loans!A54)</f>
        <v/>
      </c>
      <c r="J59" s="31" t="n">
        <f aca="false">IF(AND(Loans!C54="Closed",YEAR(Loans!D54)=YEAR(B8),MONTH(Loans!D54)=MONTH(B8)),SUM(Loans!M54,Loans!N54),0)</f>
        <v>0</v>
      </c>
      <c r="K59" s="16" t="str">
        <f aca="false">IF(OR(Loans!C54&lt;&gt;"Closed",Loans!E54=""),"",(YEAR(B8)-YEAR(Loans!E54))*12+MONTH(B8)-MONTH(Loans!E54)+1)</f>
        <v/>
      </c>
      <c r="L59" s="16" t="str">
        <f aca="false">IF(K59="","",IF(AND(K59&gt;=1,K59&lt;=Loans!I54),K59,""))</f>
        <v/>
      </c>
      <c r="M59" s="15" t="str">
        <f aca="false">IF(L59="","",INDEX('Referral Fees'!I54:BP54,1,L59))</f>
        <v/>
      </c>
      <c r="N59" s="16" t="n">
        <f aca="false">IF(OR(J59&gt;0,L59&lt;&gt;""),1,0)</f>
        <v>0</v>
      </c>
      <c r="O59" s="16" t="str">
        <f aca="false">IF(N59=1,SUM(N17:N59),"")</f>
        <v/>
      </c>
      <c r="P59" s="16" t="str">
        <f aca="false">IF(H59&gt;H13,"",MATCH(H59,O17:O66,0))</f>
        <v/>
      </c>
    </row>
    <row r="60" customFormat="false" ht="15" hidden="false" customHeight="false" outlineLevel="0" collapsed="false">
      <c r="A60" s="5" t="str">
        <f aca="false">IF(P60="","",INDEX(Loans!B12:B61,P60))</f>
        <v/>
      </c>
      <c r="B60" s="41" t="str">
        <f aca="false">IF(P60="","",INDEX(I17:I66,P60))</f>
        <v/>
      </c>
      <c r="C60" s="42" t="str">
        <f aca="false">IF(P60="","",INDEX(J17:J66,P60))</f>
        <v/>
      </c>
      <c r="D60" s="41" t="str">
        <f aca="false">IF(P60="","",INDEX(L17:L66,P60))</f>
        <v/>
      </c>
      <c r="E60" s="42" t="str">
        <f aca="false">IF(P60="","",INDEX(M17:M66,P60))</f>
        <v/>
      </c>
      <c r="F60" s="43" t="str">
        <f aca="false">IF(P60="","",SUM(C60,E60))</f>
        <v/>
      </c>
      <c r="H60" s="16" t="n">
        <v>44</v>
      </c>
      <c r="I60" s="16" t="str">
        <f aca="false">IF(Loans!A55="","",Loans!A55)</f>
        <v/>
      </c>
      <c r="J60" s="31" t="n">
        <f aca="false">IF(AND(Loans!C55="Closed",YEAR(Loans!D55)=YEAR(B8),MONTH(Loans!D55)=MONTH(B8)),SUM(Loans!M55,Loans!N55),0)</f>
        <v>0</v>
      </c>
      <c r="K60" s="16" t="str">
        <f aca="false">IF(OR(Loans!C55&lt;&gt;"Closed",Loans!E55=""),"",(YEAR(B8)-YEAR(Loans!E55))*12+MONTH(B8)-MONTH(Loans!E55)+1)</f>
        <v/>
      </c>
      <c r="L60" s="16" t="str">
        <f aca="false">IF(K60="","",IF(AND(K60&gt;=1,K60&lt;=Loans!I55),K60,""))</f>
        <v/>
      </c>
      <c r="M60" s="15" t="str">
        <f aca="false">IF(L60="","",INDEX('Referral Fees'!I55:BP55,1,L60))</f>
        <v/>
      </c>
      <c r="N60" s="16" t="n">
        <f aca="false">IF(OR(J60&gt;0,L60&lt;&gt;""),1,0)</f>
        <v>0</v>
      </c>
      <c r="O60" s="16" t="str">
        <f aca="false">IF(N60=1,SUM(N17:N60),"")</f>
        <v/>
      </c>
      <c r="P60" s="16" t="str">
        <f aca="false">IF(H60&gt;H13,"",MATCH(H60,O17:O66,0))</f>
        <v/>
      </c>
    </row>
    <row r="61" customFormat="false" ht="15" hidden="false" customHeight="false" outlineLevel="0" collapsed="false">
      <c r="A61" s="5" t="str">
        <f aca="false">IF(P61="","",INDEX(Loans!B12:B61,P61))</f>
        <v/>
      </c>
      <c r="B61" s="41" t="str">
        <f aca="false">IF(P61="","",INDEX(I17:I66,P61))</f>
        <v/>
      </c>
      <c r="C61" s="42" t="str">
        <f aca="false">IF(P61="","",INDEX(J17:J66,P61))</f>
        <v/>
      </c>
      <c r="D61" s="41" t="str">
        <f aca="false">IF(P61="","",INDEX(L17:L66,P61))</f>
        <v/>
      </c>
      <c r="E61" s="42" t="str">
        <f aca="false">IF(P61="","",INDEX(M17:M66,P61))</f>
        <v/>
      </c>
      <c r="F61" s="43" t="str">
        <f aca="false">IF(P61="","",SUM(C61,E61))</f>
        <v/>
      </c>
      <c r="H61" s="16" t="n">
        <v>45</v>
      </c>
      <c r="I61" s="16" t="str">
        <f aca="false">IF(Loans!A56="","",Loans!A56)</f>
        <v/>
      </c>
      <c r="J61" s="31" t="n">
        <f aca="false">IF(AND(Loans!C56="Closed",YEAR(Loans!D56)=YEAR(B8),MONTH(Loans!D56)=MONTH(B8)),SUM(Loans!M56,Loans!N56),0)</f>
        <v>0</v>
      </c>
      <c r="K61" s="16" t="str">
        <f aca="false">IF(OR(Loans!C56&lt;&gt;"Closed",Loans!E56=""),"",(YEAR(B8)-YEAR(Loans!E56))*12+MONTH(B8)-MONTH(Loans!E56)+1)</f>
        <v/>
      </c>
      <c r="L61" s="16" t="str">
        <f aca="false">IF(K61="","",IF(AND(K61&gt;=1,K61&lt;=Loans!I56),K61,""))</f>
        <v/>
      </c>
      <c r="M61" s="15" t="str">
        <f aca="false">IF(L61="","",INDEX('Referral Fees'!I56:BP56,1,L61))</f>
        <v/>
      </c>
      <c r="N61" s="16" t="n">
        <f aca="false">IF(OR(J61&gt;0,L61&lt;&gt;""),1,0)</f>
        <v>0</v>
      </c>
      <c r="O61" s="16" t="str">
        <f aca="false">IF(N61=1,SUM(N17:N61),"")</f>
        <v/>
      </c>
      <c r="P61" s="16" t="str">
        <f aca="false">IF(H61&gt;H13,"",MATCH(H61,O17:O66,0))</f>
        <v/>
      </c>
    </row>
    <row r="62" customFormat="false" ht="15" hidden="false" customHeight="false" outlineLevel="0" collapsed="false">
      <c r="A62" s="5" t="str">
        <f aca="false">IF(P62="","",INDEX(Loans!B12:B61,P62))</f>
        <v/>
      </c>
      <c r="B62" s="41" t="str">
        <f aca="false">IF(P62="","",INDEX(I17:I66,P62))</f>
        <v/>
      </c>
      <c r="C62" s="42" t="str">
        <f aca="false">IF(P62="","",INDEX(J17:J66,P62))</f>
        <v/>
      </c>
      <c r="D62" s="41" t="str">
        <f aca="false">IF(P62="","",INDEX(L17:L66,P62))</f>
        <v/>
      </c>
      <c r="E62" s="42" t="str">
        <f aca="false">IF(P62="","",INDEX(M17:M66,P62))</f>
        <v/>
      </c>
      <c r="F62" s="43" t="str">
        <f aca="false">IF(P62="","",SUM(C62,E62))</f>
        <v/>
      </c>
      <c r="H62" s="16" t="n">
        <v>46</v>
      </c>
      <c r="I62" s="16" t="str">
        <f aca="false">IF(Loans!A57="","",Loans!A57)</f>
        <v/>
      </c>
      <c r="J62" s="31" t="n">
        <f aca="false">IF(AND(Loans!C57="Closed",YEAR(Loans!D57)=YEAR(B8),MONTH(Loans!D57)=MONTH(B8)),SUM(Loans!M57,Loans!N57),0)</f>
        <v>0</v>
      </c>
      <c r="K62" s="16" t="str">
        <f aca="false">IF(OR(Loans!C57&lt;&gt;"Closed",Loans!E57=""),"",(YEAR(B8)-YEAR(Loans!E57))*12+MONTH(B8)-MONTH(Loans!E57)+1)</f>
        <v/>
      </c>
      <c r="L62" s="16" t="str">
        <f aca="false">IF(K62="","",IF(AND(K62&gt;=1,K62&lt;=Loans!I57),K62,""))</f>
        <v/>
      </c>
      <c r="M62" s="15" t="str">
        <f aca="false">IF(L62="","",INDEX('Referral Fees'!I57:BP57,1,L62))</f>
        <v/>
      </c>
      <c r="N62" s="16" t="n">
        <f aca="false">IF(OR(J62&gt;0,L62&lt;&gt;""),1,0)</f>
        <v>0</v>
      </c>
      <c r="O62" s="16" t="str">
        <f aca="false">IF(N62=1,SUM(N17:N62),"")</f>
        <v/>
      </c>
      <c r="P62" s="16" t="str">
        <f aca="false">IF(H62&gt;H13,"",MATCH(H62,O17:O66,0))</f>
        <v/>
      </c>
    </row>
    <row r="63" customFormat="false" ht="15" hidden="false" customHeight="false" outlineLevel="0" collapsed="false">
      <c r="A63" s="5" t="str">
        <f aca="false">IF(P63="","",INDEX(Loans!B12:B61,P63))</f>
        <v/>
      </c>
      <c r="B63" s="41" t="str">
        <f aca="false">IF(P63="","",INDEX(I17:I66,P63))</f>
        <v/>
      </c>
      <c r="C63" s="42" t="str">
        <f aca="false">IF(P63="","",INDEX(J17:J66,P63))</f>
        <v/>
      </c>
      <c r="D63" s="41" t="str">
        <f aca="false">IF(P63="","",INDEX(L17:L66,P63))</f>
        <v/>
      </c>
      <c r="E63" s="42" t="str">
        <f aca="false">IF(P63="","",INDEX(M17:M66,P63))</f>
        <v/>
      </c>
      <c r="F63" s="43" t="str">
        <f aca="false">IF(P63="","",SUM(C63,E63))</f>
        <v/>
      </c>
      <c r="H63" s="16" t="n">
        <v>47</v>
      </c>
      <c r="I63" s="16" t="str">
        <f aca="false">IF(Loans!A58="","",Loans!A58)</f>
        <v/>
      </c>
      <c r="J63" s="31" t="n">
        <f aca="false">IF(AND(Loans!C58="Closed",YEAR(Loans!D58)=YEAR(B8),MONTH(Loans!D58)=MONTH(B8)),SUM(Loans!M58,Loans!N58),0)</f>
        <v>0</v>
      </c>
      <c r="K63" s="16" t="str">
        <f aca="false">IF(OR(Loans!C58&lt;&gt;"Closed",Loans!E58=""),"",(YEAR(B8)-YEAR(Loans!E58))*12+MONTH(B8)-MONTH(Loans!E58)+1)</f>
        <v/>
      </c>
      <c r="L63" s="16" t="str">
        <f aca="false">IF(K63="","",IF(AND(K63&gt;=1,K63&lt;=Loans!I58),K63,""))</f>
        <v/>
      </c>
      <c r="M63" s="15" t="str">
        <f aca="false">IF(L63="","",INDEX('Referral Fees'!I58:BP58,1,L63))</f>
        <v/>
      </c>
      <c r="N63" s="16" t="n">
        <f aca="false">IF(OR(J63&gt;0,L63&lt;&gt;""),1,0)</f>
        <v>0</v>
      </c>
      <c r="O63" s="16" t="str">
        <f aca="false">IF(N63=1,SUM(N17:N63),"")</f>
        <v/>
      </c>
      <c r="P63" s="16" t="str">
        <f aca="false">IF(H63&gt;H13,"",MATCH(H63,O17:O66,0))</f>
        <v/>
      </c>
    </row>
    <row r="64" customFormat="false" ht="15" hidden="false" customHeight="false" outlineLevel="0" collapsed="false">
      <c r="A64" s="5" t="str">
        <f aca="false">IF(P64="","",INDEX(Loans!B12:B61,P64))</f>
        <v/>
      </c>
      <c r="B64" s="41" t="str">
        <f aca="false">IF(P64="","",INDEX(I17:I66,P64))</f>
        <v/>
      </c>
      <c r="C64" s="42" t="str">
        <f aca="false">IF(P64="","",INDEX(J17:J66,P64))</f>
        <v/>
      </c>
      <c r="D64" s="41" t="str">
        <f aca="false">IF(P64="","",INDEX(L17:L66,P64))</f>
        <v/>
      </c>
      <c r="E64" s="42" t="str">
        <f aca="false">IF(P64="","",INDEX(M17:M66,P64))</f>
        <v/>
      </c>
      <c r="F64" s="43" t="str">
        <f aca="false">IF(P64="","",SUM(C64,E64))</f>
        <v/>
      </c>
      <c r="H64" s="16" t="n">
        <v>48</v>
      </c>
      <c r="I64" s="16" t="str">
        <f aca="false">IF(Loans!A59="","",Loans!A59)</f>
        <v/>
      </c>
      <c r="J64" s="31" t="n">
        <f aca="false">IF(AND(Loans!C59="Closed",YEAR(Loans!D59)=YEAR(B8),MONTH(Loans!D59)=MONTH(B8)),SUM(Loans!M59,Loans!N59),0)</f>
        <v>0</v>
      </c>
      <c r="K64" s="16" t="str">
        <f aca="false">IF(OR(Loans!C59&lt;&gt;"Closed",Loans!E59=""),"",(YEAR(B8)-YEAR(Loans!E59))*12+MONTH(B8)-MONTH(Loans!E59)+1)</f>
        <v/>
      </c>
      <c r="L64" s="16" t="str">
        <f aca="false">IF(K64="","",IF(AND(K64&gt;=1,K64&lt;=Loans!I59),K64,""))</f>
        <v/>
      </c>
      <c r="M64" s="15" t="str">
        <f aca="false">IF(L64="","",INDEX('Referral Fees'!I59:BP59,1,L64))</f>
        <v/>
      </c>
      <c r="N64" s="16" t="n">
        <f aca="false">IF(OR(J64&gt;0,L64&lt;&gt;""),1,0)</f>
        <v>0</v>
      </c>
      <c r="O64" s="16" t="str">
        <f aca="false">IF(N64=1,SUM(N17:N64),"")</f>
        <v/>
      </c>
      <c r="P64" s="16" t="str">
        <f aca="false">IF(H64&gt;H13,"",MATCH(H64,O17:O66,0))</f>
        <v/>
      </c>
    </row>
    <row r="65" customFormat="false" ht="15" hidden="false" customHeight="false" outlineLevel="0" collapsed="false">
      <c r="A65" s="5" t="str">
        <f aca="false">IF(P65="","",INDEX(Loans!B12:B61,P65))</f>
        <v/>
      </c>
      <c r="B65" s="41" t="str">
        <f aca="false">IF(P65="","",INDEX(I17:I66,P65))</f>
        <v/>
      </c>
      <c r="C65" s="42" t="str">
        <f aca="false">IF(P65="","",INDEX(J17:J66,P65))</f>
        <v/>
      </c>
      <c r="D65" s="41" t="str">
        <f aca="false">IF(P65="","",INDEX(L17:L66,P65))</f>
        <v/>
      </c>
      <c r="E65" s="42" t="str">
        <f aca="false">IF(P65="","",INDEX(M17:M66,P65))</f>
        <v/>
      </c>
      <c r="F65" s="43" t="str">
        <f aca="false">IF(P65="","",SUM(C65,E65))</f>
        <v/>
      </c>
      <c r="H65" s="16" t="n">
        <v>49</v>
      </c>
      <c r="I65" s="16" t="str">
        <f aca="false">IF(Loans!A60="","",Loans!A60)</f>
        <v/>
      </c>
      <c r="J65" s="31" t="n">
        <f aca="false">IF(AND(Loans!C60="Closed",YEAR(Loans!D60)=YEAR(B8),MONTH(Loans!D60)=MONTH(B8)),SUM(Loans!M60,Loans!N60),0)</f>
        <v>0</v>
      </c>
      <c r="K65" s="16" t="str">
        <f aca="false">IF(OR(Loans!C60&lt;&gt;"Closed",Loans!E60=""),"",(YEAR(B8)-YEAR(Loans!E60))*12+MONTH(B8)-MONTH(Loans!E60)+1)</f>
        <v/>
      </c>
      <c r="L65" s="16" t="str">
        <f aca="false">IF(K65="","",IF(AND(K65&gt;=1,K65&lt;=Loans!I60),K65,""))</f>
        <v/>
      </c>
      <c r="M65" s="15" t="str">
        <f aca="false">IF(L65="","",INDEX('Referral Fees'!I60:BP60,1,L65))</f>
        <v/>
      </c>
      <c r="N65" s="16" t="n">
        <f aca="false">IF(OR(J65&gt;0,L65&lt;&gt;""),1,0)</f>
        <v>0</v>
      </c>
      <c r="O65" s="16" t="str">
        <f aca="false">IF(N65=1,SUM(N17:N65),"")</f>
        <v/>
      </c>
      <c r="P65" s="16" t="str">
        <f aca="false">IF(H65&gt;H13,"",MATCH(H65,O17:O66,0))</f>
        <v/>
      </c>
    </row>
    <row r="66" customFormat="false" ht="15" hidden="false" customHeight="false" outlineLevel="0" collapsed="false">
      <c r="A66" s="5" t="str">
        <f aca="false">IF(P66="","",INDEX(Loans!B12:B61,P66))</f>
        <v/>
      </c>
      <c r="B66" s="41" t="str">
        <f aca="false">IF(P66="","",INDEX(I17:I66,P66))</f>
        <v/>
      </c>
      <c r="C66" s="42" t="str">
        <f aca="false">IF(P66="","",INDEX(J17:J66,P66))</f>
        <v/>
      </c>
      <c r="D66" s="41" t="str">
        <f aca="false">IF(P66="","",INDEX(L17:L66,P66))</f>
        <v/>
      </c>
      <c r="E66" s="42" t="str">
        <f aca="false">IF(P66="","",INDEX(M17:M66,P66))</f>
        <v/>
      </c>
      <c r="F66" s="43" t="str">
        <f aca="false">IF(P66="","",SUM(C66,E66))</f>
        <v/>
      </c>
      <c r="H66" s="16" t="n">
        <v>50</v>
      </c>
      <c r="I66" s="16" t="str">
        <f aca="false">IF(Loans!A61="","",Loans!A61)</f>
        <v/>
      </c>
      <c r="J66" s="31" t="n">
        <f aca="false">IF(AND(Loans!C61="Closed",YEAR(Loans!D61)=YEAR(B8),MONTH(Loans!D61)=MONTH(B8)),SUM(Loans!M61,Loans!N61),0)</f>
        <v>0</v>
      </c>
      <c r="K66" s="16" t="str">
        <f aca="false">IF(OR(Loans!C61&lt;&gt;"Closed",Loans!E61=""),"",(YEAR(B8)-YEAR(Loans!E61))*12+MONTH(B8)-MONTH(Loans!E61)+1)</f>
        <v/>
      </c>
      <c r="L66" s="16" t="str">
        <f aca="false">IF(K66="","",IF(AND(K66&gt;=1,K66&lt;=Loans!I61),K66,""))</f>
        <v/>
      </c>
      <c r="M66" s="15" t="str">
        <f aca="false">IF(L66="","",INDEX('Referral Fees'!I61:BP61,1,L66))</f>
        <v/>
      </c>
      <c r="N66" s="16" t="n">
        <f aca="false">IF(OR(J66&gt;0,L66&lt;&gt;""),1,0)</f>
        <v>0</v>
      </c>
      <c r="O66" s="16" t="str">
        <f aca="false">IF(N66=1,SUM(N17:N66),"")</f>
        <v/>
      </c>
      <c r="P66" s="16" t="str">
        <f aca="false">IF(H66&gt;H13,"",MATCH(H66,O17:O66,0))</f>
        <v/>
      </c>
    </row>
  </sheetData>
  <mergeCells count="4">
    <mergeCell ref="B3:F3"/>
    <mergeCell ref="B4:F4"/>
    <mergeCell ref="B5:F5"/>
    <mergeCell ref="B6:F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8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true" outlineLevel="0" collapsed="false">
      <c r="A4" s="4" t="s">
        <v>103</v>
      </c>
      <c r="B4" s="4"/>
      <c r="D4" s="4" t="s">
        <v>104</v>
      </c>
      <c r="E4" s="4"/>
    </row>
    <row r="5" customFormat="false" ht="15" hidden="false" customHeight="false" outlineLevel="0" collapsed="false">
      <c r="A5" s="5" t="s">
        <v>105</v>
      </c>
      <c r="B5" s="39" t="n">
        <f aca="false">COUNTIF(Loans!C12:C61,"Closed")</f>
        <v>1</v>
      </c>
      <c r="D5" s="5" t="s">
        <v>106</v>
      </c>
      <c r="E5" s="21" t="n">
        <f aca="false">SUMIF(Loans!C12:C61,"Closed",Loans!M12:M61)</f>
        <v>381.2743</v>
      </c>
    </row>
    <row r="6" customFormat="false" ht="15" hidden="false" customHeight="false" outlineLevel="0" collapsed="false">
      <c r="A6" s="5" t="s">
        <v>107</v>
      </c>
      <c r="B6" s="39" t="n">
        <f aca="false">COUNTIF(Loans!C12:C61,"Pipeline")</f>
        <v>2</v>
      </c>
      <c r="D6" s="5" t="s">
        <v>108</v>
      </c>
      <c r="E6" s="21" t="n">
        <f aca="false">SUMIF(Loans!C12:C61,"Closed",Loans!N12:N61)</f>
        <v>381.2743</v>
      </c>
    </row>
    <row r="7" customFormat="false" ht="15" hidden="false" customHeight="false" outlineLevel="0" collapsed="false">
      <c r="A7" s="5" t="s">
        <v>109</v>
      </c>
      <c r="B7" s="21" t="n">
        <f aca="false">SUMIF(Loans!C12:C61,"Closed",Loans!K12:K61)</f>
        <v>38127.43</v>
      </c>
      <c r="D7" s="5" t="s">
        <v>110</v>
      </c>
      <c r="E7" s="21" t="n">
        <f aca="false">Loans!P62</f>
        <v>31.511325241962</v>
      </c>
    </row>
    <row r="8" customFormat="false" ht="15" hidden="false" customHeight="false" outlineLevel="0" collapsed="false">
      <c r="A8" s="5" t="s">
        <v>111</v>
      </c>
      <c r="B8" s="21" t="n">
        <f aca="false">SUMIF(Loans!C12:C61,"Pipeline",Loans!K12:K61)</f>
        <v>75500</v>
      </c>
      <c r="D8" s="19" t="s">
        <v>112</v>
      </c>
      <c r="E8" s="21" t="n">
        <f aca="false">SUM(E5:E7)</f>
        <v>794.059925241962</v>
      </c>
    </row>
    <row r="9" customFormat="false" ht="15" hidden="false" customHeight="false" outlineLevel="0" collapsed="false">
      <c r="A9" s="5" t="s">
        <v>113</v>
      </c>
      <c r="B9" s="21" t="n">
        <f aca="false">IF(B5+B6=0,0,(B7+B8)/(B5+B6))</f>
        <v>37875.81</v>
      </c>
    </row>
    <row r="11" customFormat="false" ht="15" hidden="false" customHeight="true" outlineLevel="0" collapsed="false">
      <c r="A11" s="4" t="s">
        <v>114</v>
      </c>
      <c r="B11" s="4"/>
      <c r="D11" s="4" t="s">
        <v>115</v>
      </c>
      <c r="E11" s="4"/>
    </row>
    <row r="12" customFormat="false" ht="15" hidden="false" customHeight="false" outlineLevel="0" collapsed="false">
      <c r="A12" s="5" t="s">
        <v>116</v>
      </c>
      <c r="B12" s="21" t="n">
        <f aca="false">B20+C20</f>
        <v>15.3632540118027</v>
      </c>
      <c r="D12" s="5" t="s">
        <v>106</v>
      </c>
      <c r="E12" s="21" t="n">
        <f aca="false">SUMIF(Loans!C12:C61,"Pipeline",Loans!M12:M61)</f>
        <v>755</v>
      </c>
    </row>
    <row r="13" customFormat="false" ht="15" hidden="false" customHeight="false" outlineLevel="0" collapsed="false">
      <c r="A13" s="5" t="s">
        <v>117</v>
      </c>
      <c r="B13" s="21" t="n">
        <f aca="false">SUM(B20:B31)</f>
        <v>167.059460436038</v>
      </c>
      <c r="D13" s="5" t="s">
        <v>108</v>
      </c>
      <c r="E13" s="21" t="n">
        <f aca="false">SUMIF(Loans!C12:C61,"Pipeline",Loans!N12:N61)</f>
        <v>755</v>
      </c>
    </row>
    <row r="14" customFormat="false" ht="15" hidden="false" customHeight="false" outlineLevel="0" collapsed="false">
      <c r="D14" s="5" t="s">
        <v>118</v>
      </c>
      <c r="E14" s="21" t="n">
        <f aca="false">SUMIF(Loans!C12:C61,"Pipeline",Loans!O12:O61)</f>
        <v>963.409506322496</v>
      </c>
    </row>
    <row r="15" customFormat="false" ht="15" hidden="false" customHeight="false" outlineLevel="0" collapsed="false">
      <c r="D15" s="19" t="s">
        <v>119</v>
      </c>
      <c r="E15" s="21" t="n">
        <f aca="false">SUM(E12:E14)</f>
        <v>2473.4095063225</v>
      </c>
    </row>
    <row r="17" customFormat="false" ht="15" hidden="false" customHeight="false" outlineLevel="0" collapsed="false">
      <c r="A17" s="28" t="s">
        <v>120</v>
      </c>
    </row>
    <row r="18" customFormat="false" ht="15" hidden="false" customHeight="false" outlineLevel="0" collapsed="false">
      <c r="A18" s="2" t="s">
        <v>121</v>
      </c>
    </row>
    <row r="19" customFormat="false" ht="15" hidden="false" customHeight="false" outlineLevel="0" collapsed="false">
      <c r="A19" s="10" t="s">
        <v>122</v>
      </c>
      <c r="B19" s="10" t="s">
        <v>123</v>
      </c>
      <c r="C19" s="10" t="s">
        <v>124</v>
      </c>
      <c r="D19" s="10" t="s">
        <v>125</v>
      </c>
      <c r="E19" s="10" t="s">
        <v>126</v>
      </c>
    </row>
    <row r="20" customFormat="false" ht="15" hidden="false" customHeight="false" outlineLevel="0" collapsed="false">
      <c r="A20" s="44" t="n">
        <f aca="false">'Referral Fees'!I131</f>
        <v>46296</v>
      </c>
      <c r="B20" s="31" t="n">
        <f aca="false">'Referral Fees'!I242</f>
        <v>15.3632540118027</v>
      </c>
      <c r="C20" s="31" t="n">
        <f aca="false">SUMIF(Loans!U12:U61,A20,Loans!W12:W61)</f>
        <v>0</v>
      </c>
      <c r="D20" s="31" t="n">
        <f aca="false">SUMIF(Loans!U12:U61,A20,Loans!X12:X61)</f>
        <v>0</v>
      </c>
      <c r="E20" s="32" t="n">
        <f aca="false">SUM(B20:D20)</f>
        <v>15.3632540118027</v>
      </c>
    </row>
    <row r="21" customFormat="false" ht="15" hidden="false" customHeight="false" outlineLevel="0" collapsed="false">
      <c r="A21" s="44" t="n">
        <f aca="false">'Referral Fees'!J131</f>
        <v>46327</v>
      </c>
      <c r="B21" s="31" t="n">
        <f aca="false">'Referral Fees'!J242</f>
        <v>15.1015029307835</v>
      </c>
      <c r="C21" s="31" t="n">
        <f aca="false">SUMIF(Loans!U12:U61,A21,Loans!W12:W61)</f>
        <v>0</v>
      </c>
      <c r="D21" s="31" t="n">
        <f aca="false">SUMIF(Loans!U12:U61,A21,Loans!X12:X61)</f>
        <v>1160</v>
      </c>
      <c r="E21" s="32" t="n">
        <f aca="false">SUM(B21:D21)</f>
        <v>1175.10150293078</v>
      </c>
    </row>
    <row r="22" customFormat="false" ht="15" hidden="false" customHeight="false" outlineLevel="0" collapsed="false">
      <c r="A22" s="44" t="n">
        <f aca="false">'Referral Fees'!K131</f>
        <v>46357</v>
      </c>
      <c r="B22" s="31" t="n">
        <f aca="false">'Referral Fees'!K242</f>
        <v>14.839642786814</v>
      </c>
      <c r="C22" s="31" t="n">
        <f aca="false">SUMIF(Loans!U12:U61,A22,Loans!W12:W61)</f>
        <v>0</v>
      </c>
      <c r="D22" s="31" t="n">
        <f aca="false">SUMIF(Loans!U12:U61,A22,Loans!X12:X61)</f>
        <v>350</v>
      </c>
      <c r="E22" s="32" t="n">
        <f aca="false">SUM(B22:D22)</f>
        <v>364.839642786814</v>
      </c>
    </row>
    <row r="23" customFormat="false" ht="15" hidden="false" customHeight="false" outlineLevel="0" collapsed="false">
      <c r="A23" s="44" t="n">
        <f aca="false">'Referral Fees'!L131</f>
        <v>46388</v>
      </c>
      <c r="B23" s="31" t="n">
        <f aca="false">'Referral Fees'!L242</f>
        <v>14.5776735344511</v>
      </c>
      <c r="C23" s="31" t="n">
        <f aca="false">SUMIF(Loans!U12:U61,A23,Loans!W12:W61)</f>
        <v>0</v>
      </c>
      <c r="D23" s="31" t="n">
        <f aca="false">SUMIF(Loans!U12:U61,A23,Loans!X12:X61)</f>
        <v>0</v>
      </c>
      <c r="E23" s="32" t="n">
        <f aca="false">SUM(B23:D23)</f>
        <v>14.5776735344511</v>
      </c>
    </row>
    <row r="24" customFormat="false" ht="15" hidden="false" customHeight="false" outlineLevel="0" collapsed="false">
      <c r="A24" s="44" t="n">
        <f aca="false">'Referral Fees'!M131</f>
        <v>46419</v>
      </c>
      <c r="B24" s="31" t="n">
        <f aca="false">'Referral Fees'!M242</f>
        <v>14.315595128233</v>
      </c>
      <c r="C24" s="31" t="n">
        <f aca="false">SUMIF(Loans!U12:U61,A24,Loans!W12:W61)</f>
        <v>0</v>
      </c>
      <c r="D24" s="31" t="n">
        <f aca="false">SUMIF(Loans!U12:U61,A24,Loans!X12:X61)</f>
        <v>0</v>
      </c>
      <c r="E24" s="32" t="n">
        <f aca="false">SUM(B24:D24)</f>
        <v>14.315595128233</v>
      </c>
    </row>
    <row r="25" customFormat="false" ht="15" hidden="false" customHeight="false" outlineLevel="0" collapsed="false">
      <c r="A25" s="44" t="n">
        <f aca="false">'Referral Fees'!N131</f>
        <v>46447</v>
      </c>
      <c r="B25" s="31" t="n">
        <f aca="false">'Referral Fees'!N242</f>
        <v>14.0534075226791</v>
      </c>
      <c r="C25" s="31" t="n">
        <f aca="false">SUMIF(Loans!U12:U61,A25,Loans!W12:W61)</f>
        <v>0</v>
      </c>
      <c r="D25" s="31" t="n">
        <f aca="false">SUMIF(Loans!U12:U61,A25,Loans!X12:X61)</f>
        <v>0</v>
      </c>
      <c r="E25" s="32" t="n">
        <f aca="false">SUM(B25:D25)</f>
        <v>14.0534075226791</v>
      </c>
    </row>
    <row r="26" customFormat="false" ht="15" hidden="false" customHeight="false" outlineLevel="0" collapsed="false">
      <c r="A26" s="44" t="n">
        <f aca="false">'Referral Fees'!O131</f>
        <v>46478</v>
      </c>
      <c r="B26" s="31" t="n">
        <f aca="false">'Referral Fees'!O242</f>
        <v>13.7911106722894</v>
      </c>
      <c r="C26" s="31" t="n">
        <f aca="false">SUMIF(Loans!U12:U61,A26,Loans!W12:W61)</f>
        <v>0</v>
      </c>
      <c r="D26" s="31" t="n">
        <f aca="false">SUMIF(Loans!U12:U61,A26,Loans!X12:X61)</f>
        <v>0</v>
      </c>
      <c r="E26" s="32" t="n">
        <f aca="false">SUM(B26:D26)</f>
        <v>13.7911106722894</v>
      </c>
    </row>
    <row r="27" customFormat="false" ht="15" hidden="false" customHeight="false" outlineLevel="0" collapsed="false">
      <c r="A27" s="44" t="n">
        <f aca="false">'Referral Fees'!P131</f>
        <v>46508</v>
      </c>
      <c r="B27" s="31" t="n">
        <f aca="false">'Referral Fees'!P242</f>
        <v>13.5287045315455</v>
      </c>
      <c r="C27" s="31" t="n">
        <f aca="false">SUMIF(Loans!U12:U61,A27,Loans!W12:W61)</f>
        <v>0</v>
      </c>
      <c r="D27" s="31" t="n">
        <f aca="false">SUMIF(Loans!U12:U61,A27,Loans!X12:X61)</f>
        <v>0</v>
      </c>
      <c r="E27" s="32" t="n">
        <f aca="false">SUM(B27:D27)</f>
        <v>13.5287045315455</v>
      </c>
    </row>
    <row r="28" customFormat="false" ht="15" hidden="false" customHeight="false" outlineLevel="0" collapsed="false">
      <c r="A28" s="44" t="n">
        <f aca="false">'Referral Fees'!Q131</f>
        <v>46539</v>
      </c>
      <c r="B28" s="31" t="n">
        <f aca="false">'Referral Fees'!Q242</f>
        <v>13.2661890549096</v>
      </c>
      <c r="C28" s="31" t="n">
        <f aca="false">SUMIF(Loans!U12:U61,A28,Loans!W12:W61)</f>
        <v>0</v>
      </c>
      <c r="D28" s="31" t="n">
        <f aca="false">SUMIF(Loans!U12:U61,A28,Loans!X12:X61)</f>
        <v>0</v>
      </c>
      <c r="E28" s="32" t="n">
        <f aca="false">SUM(B28:D28)</f>
        <v>13.2661890549096</v>
      </c>
    </row>
    <row r="29" customFormat="false" ht="15" hidden="false" customHeight="false" outlineLevel="0" collapsed="false">
      <c r="A29" s="44" t="n">
        <f aca="false">'Referral Fees'!R131</f>
        <v>46569</v>
      </c>
      <c r="B29" s="31" t="n">
        <f aca="false">'Referral Fees'!R242</f>
        <v>13.0035641968251</v>
      </c>
      <c r="C29" s="31" t="n">
        <f aca="false">SUMIF(Loans!U12:U61,A29,Loans!W12:W61)</f>
        <v>0</v>
      </c>
      <c r="D29" s="31" t="n">
        <f aca="false">SUMIF(Loans!U12:U61,A29,Loans!X12:X61)</f>
        <v>0</v>
      </c>
      <c r="E29" s="32" t="n">
        <f aca="false">SUM(B29:D29)</f>
        <v>13.0035641968251</v>
      </c>
    </row>
    <row r="30" customFormat="false" ht="15" hidden="false" customHeight="false" outlineLevel="0" collapsed="false">
      <c r="A30" s="44" t="n">
        <f aca="false">'Referral Fees'!S131</f>
        <v>46600</v>
      </c>
      <c r="B30" s="31" t="n">
        <f aca="false">'Referral Fees'!S242</f>
        <v>12.7408299117163</v>
      </c>
      <c r="C30" s="31" t="n">
        <f aca="false">SUMIF(Loans!U12:U61,A30,Loans!W12:W61)</f>
        <v>0</v>
      </c>
      <c r="D30" s="31" t="n">
        <f aca="false">SUMIF(Loans!U12:U61,A30,Loans!X12:X61)</f>
        <v>0</v>
      </c>
      <c r="E30" s="32" t="n">
        <f aca="false">SUM(B30:D30)</f>
        <v>12.7408299117163</v>
      </c>
    </row>
    <row r="31" customFormat="false" ht="15" hidden="false" customHeight="false" outlineLevel="0" collapsed="false">
      <c r="A31" s="44" t="n">
        <f aca="false">'Referral Fees'!T131</f>
        <v>46631</v>
      </c>
      <c r="B31" s="31" t="n">
        <f aca="false">'Referral Fees'!T242</f>
        <v>12.4779861539888</v>
      </c>
      <c r="C31" s="31" t="n">
        <f aca="false">SUMIF(Loans!U12:U61,A31,Loans!W12:W61)</f>
        <v>0</v>
      </c>
      <c r="D31" s="31" t="n">
        <f aca="false">SUMIF(Loans!U12:U61,A31,Loans!X12:X61)</f>
        <v>0</v>
      </c>
      <c r="E31" s="32" t="n">
        <f aca="false">SUM(B31:D31)</f>
        <v>12.4779861539888</v>
      </c>
    </row>
    <row r="32" customFormat="false" ht="15" hidden="false" customHeight="false" outlineLevel="0" collapsed="false">
      <c r="A32" s="19" t="s">
        <v>43</v>
      </c>
      <c r="B32" s="32" t="n">
        <f aca="false">SUM(B20:B31)</f>
        <v>167.059460436038</v>
      </c>
      <c r="C32" s="32" t="n">
        <f aca="false">SUM(C20:C31)</f>
        <v>0</v>
      </c>
      <c r="D32" s="32" t="n">
        <f aca="false">SUM(D20:D31)</f>
        <v>1510</v>
      </c>
      <c r="E32" s="32" t="n">
        <f aca="false">SUM(E20:E31)</f>
        <v>1677.05946043604</v>
      </c>
    </row>
    <row r="35" customFormat="false" ht="15" hidden="false" customHeight="false" outlineLevel="0" collapsed="false">
      <c r="A35" s="28" t="s">
        <v>127</v>
      </c>
      <c r="H35" s="2" t="s">
        <v>128</v>
      </c>
    </row>
    <row r="36" customFormat="false" ht="31.5" hidden="false" customHeight="true" outlineLevel="0" collapsed="false">
      <c r="A36" s="10" t="s">
        <v>70</v>
      </c>
      <c r="B36" s="10" t="s">
        <v>129</v>
      </c>
      <c r="C36" s="10" t="s">
        <v>130</v>
      </c>
      <c r="D36" s="10" t="s">
        <v>34</v>
      </c>
      <c r="E36" s="10" t="s">
        <v>131</v>
      </c>
      <c r="F36" s="10" t="s">
        <v>132</v>
      </c>
      <c r="H36" s="10" t="s">
        <v>94</v>
      </c>
      <c r="I36" s="10" t="s">
        <v>133</v>
      </c>
    </row>
    <row r="37" customFormat="false" ht="15" hidden="false" customHeight="false" outlineLevel="0" collapsed="false">
      <c r="A37" s="5" t="str">
        <f aca="false">IF(I37="","",INDEX(Loans!B12:B61,I37))</f>
        <v>SAMPLE Client B (replace)</v>
      </c>
      <c r="B37" s="45" t="n">
        <f aca="false">IF(I37="","",INDEX(Loans!K12:K61,I37))</f>
        <v>58000</v>
      </c>
      <c r="C37" s="46" t="n">
        <f aca="false">IF(I37="","",INDEX(Loans!D12:D61,I37))</f>
        <v>46341</v>
      </c>
      <c r="D37" s="45" t="n">
        <f aca="false">IF(I37="","",INDEX(Loans!V12:V61,I37))</f>
        <v>1160</v>
      </c>
      <c r="E37" s="45" t="n">
        <f aca="false">IF(I37="","",INDEX(Loans!O12:O61,I37))</f>
        <v>740.102667108673</v>
      </c>
      <c r="F37" s="47" t="n">
        <f aca="false">IF(I37="","",SUM(D37:E37))</f>
        <v>1900.10266710867</v>
      </c>
      <c r="H37" s="16" t="n">
        <v>1</v>
      </c>
      <c r="I37" s="16" t="n">
        <f aca="false">IF(H37&gt;B6,"",MATCH(H37,Loans!Y12:Y61,0))</f>
        <v>2</v>
      </c>
    </row>
    <row r="38" customFormat="false" ht="15" hidden="false" customHeight="false" outlineLevel="0" collapsed="false">
      <c r="A38" s="5" t="str">
        <f aca="false">IF(I38="","",INDEX(Loans!B12:B61,I38))</f>
        <v>SAMPLE Client C (replace)</v>
      </c>
      <c r="B38" s="45" t="n">
        <f aca="false">IF(I38="","",INDEX(Loans!K12:K61,I38))</f>
        <v>17500</v>
      </c>
      <c r="C38" s="46" t="n">
        <f aca="false">IF(I38="","",INDEX(Loans!D12:D61,I38))</f>
        <v>46366</v>
      </c>
      <c r="D38" s="45" t="n">
        <f aca="false">IF(I38="","",INDEX(Loans!V12:V61,I38))</f>
        <v>350</v>
      </c>
      <c r="E38" s="45" t="n">
        <f aca="false">IF(I38="","",INDEX(Loans!O12:O61,I38))</f>
        <v>223.306839213823</v>
      </c>
      <c r="F38" s="47" t="n">
        <f aca="false">IF(I38="","",SUM(D38:E38))</f>
        <v>573.306839213823</v>
      </c>
      <c r="H38" s="16" t="n">
        <v>2</v>
      </c>
      <c r="I38" s="16" t="n">
        <f aca="false">IF(H38&gt;B6,"",MATCH(H38,Loans!Y12:Y61,0))</f>
        <v>3</v>
      </c>
    </row>
    <row r="39" customFormat="false" ht="15" hidden="false" customHeight="false" outlineLevel="0" collapsed="false">
      <c r="A39" s="5" t="str">
        <f aca="false">IF(I39="","",INDEX(Loans!B12:B61,I39))</f>
        <v/>
      </c>
      <c r="B39" s="45" t="str">
        <f aca="false">IF(I39="","",INDEX(Loans!K12:K61,I39))</f>
        <v/>
      </c>
      <c r="C39" s="46" t="str">
        <f aca="false">IF(I39="","",INDEX(Loans!D12:D61,I39))</f>
        <v/>
      </c>
      <c r="D39" s="45" t="str">
        <f aca="false">IF(I39="","",INDEX(Loans!V12:V61,I39))</f>
        <v/>
      </c>
      <c r="E39" s="45" t="str">
        <f aca="false">IF(I39="","",INDEX(Loans!O12:O61,I39))</f>
        <v/>
      </c>
      <c r="F39" s="47" t="str">
        <f aca="false">IF(I39="","",SUM(D39:E39))</f>
        <v/>
      </c>
      <c r="H39" s="16" t="n">
        <v>3</v>
      </c>
      <c r="I39" s="16" t="str">
        <f aca="false">IF(H39&gt;B6,"",MATCH(H39,Loans!Y12:Y61,0))</f>
        <v/>
      </c>
    </row>
    <row r="40" customFormat="false" ht="15" hidden="false" customHeight="false" outlineLevel="0" collapsed="false">
      <c r="A40" s="5" t="str">
        <f aca="false">IF(I40="","",INDEX(Loans!B12:B61,I40))</f>
        <v/>
      </c>
      <c r="B40" s="45" t="str">
        <f aca="false">IF(I40="","",INDEX(Loans!K12:K61,I40))</f>
        <v/>
      </c>
      <c r="C40" s="46" t="str">
        <f aca="false">IF(I40="","",INDEX(Loans!D12:D61,I40))</f>
        <v/>
      </c>
      <c r="D40" s="45" t="str">
        <f aca="false">IF(I40="","",INDEX(Loans!V12:V61,I40))</f>
        <v/>
      </c>
      <c r="E40" s="45" t="str">
        <f aca="false">IF(I40="","",INDEX(Loans!O12:O61,I40))</f>
        <v/>
      </c>
      <c r="F40" s="47" t="str">
        <f aca="false">IF(I40="","",SUM(D40:E40))</f>
        <v/>
      </c>
      <c r="H40" s="16" t="n">
        <v>4</v>
      </c>
      <c r="I40" s="16" t="str">
        <f aca="false">IF(H40&gt;B6,"",MATCH(H40,Loans!Y12:Y61,0))</f>
        <v/>
      </c>
    </row>
    <row r="41" customFormat="false" ht="15" hidden="false" customHeight="false" outlineLevel="0" collapsed="false">
      <c r="A41" s="5" t="str">
        <f aca="false">IF(I41="","",INDEX(Loans!B12:B61,I41))</f>
        <v/>
      </c>
      <c r="B41" s="45" t="str">
        <f aca="false">IF(I41="","",INDEX(Loans!K12:K61,I41))</f>
        <v/>
      </c>
      <c r="C41" s="46" t="str">
        <f aca="false">IF(I41="","",INDEX(Loans!D12:D61,I41))</f>
        <v/>
      </c>
      <c r="D41" s="45" t="str">
        <f aca="false">IF(I41="","",INDEX(Loans!V12:V61,I41))</f>
        <v/>
      </c>
      <c r="E41" s="45" t="str">
        <f aca="false">IF(I41="","",INDEX(Loans!O12:O61,I41))</f>
        <v/>
      </c>
      <c r="F41" s="47" t="str">
        <f aca="false">IF(I41="","",SUM(D41:E41))</f>
        <v/>
      </c>
      <c r="H41" s="16" t="n">
        <v>5</v>
      </c>
      <c r="I41" s="16" t="str">
        <f aca="false">IF(H41&gt;B6,"",MATCH(H41,Loans!Y12:Y61,0))</f>
        <v/>
      </c>
    </row>
    <row r="42" customFormat="false" ht="15" hidden="false" customHeight="false" outlineLevel="0" collapsed="false">
      <c r="A42" s="5" t="str">
        <f aca="false">IF(I42="","",INDEX(Loans!B12:B61,I42))</f>
        <v/>
      </c>
      <c r="B42" s="45" t="str">
        <f aca="false">IF(I42="","",INDEX(Loans!K12:K61,I42))</f>
        <v/>
      </c>
      <c r="C42" s="46" t="str">
        <f aca="false">IF(I42="","",INDEX(Loans!D12:D61,I42))</f>
        <v/>
      </c>
      <c r="D42" s="45" t="str">
        <f aca="false">IF(I42="","",INDEX(Loans!V12:V61,I42))</f>
        <v/>
      </c>
      <c r="E42" s="45" t="str">
        <f aca="false">IF(I42="","",INDEX(Loans!O12:O61,I42))</f>
        <v/>
      </c>
      <c r="F42" s="47" t="str">
        <f aca="false">IF(I42="","",SUM(D42:E42))</f>
        <v/>
      </c>
      <c r="H42" s="16" t="n">
        <v>6</v>
      </c>
      <c r="I42" s="16" t="str">
        <f aca="false">IF(H42&gt;B6,"",MATCH(H42,Loans!Y12:Y61,0))</f>
        <v/>
      </c>
    </row>
    <row r="43" customFormat="false" ht="15" hidden="false" customHeight="false" outlineLevel="0" collapsed="false">
      <c r="A43" s="5" t="str">
        <f aca="false">IF(I43="","",INDEX(Loans!B12:B61,I43))</f>
        <v/>
      </c>
      <c r="B43" s="45" t="str">
        <f aca="false">IF(I43="","",INDEX(Loans!K12:K61,I43))</f>
        <v/>
      </c>
      <c r="C43" s="46" t="str">
        <f aca="false">IF(I43="","",INDEX(Loans!D12:D61,I43))</f>
        <v/>
      </c>
      <c r="D43" s="45" t="str">
        <f aca="false">IF(I43="","",INDEX(Loans!V12:V61,I43))</f>
        <v/>
      </c>
      <c r="E43" s="45" t="str">
        <f aca="false">IF(I43="","",INDEX(Loans!O12:O61,I43))</f>
        <v/>
      </c>
      <c r="F43" s="47" t="str">
        <f aca="false">IF(I43="","",SUM(D43:E43))</f>
        <v/>
      </c>
      <c r="H43" s="16" t="n">
        <v>7</v>
      </c>
      <c r="I43" s="16" t="str">
        <f aca="false">IF(H43&gt;B6,"",MATCH(H43,Loans!Y12:Y61,0))</f>
        <v/>
      </c>
    </row>
    <row r="44" customFormat="false" ht="15" hidden="false" customHeight="false" outlineLevel="0" collapsed="false">
      <c r="A44" s="5" t="str">
        <f aca="false">IF(I44="","",INDEX(Loans!B12:B61,I44))</f>
        <v/>
      </c>
      <c r="B44" s="45" t="str">
        <f aca="false">IF(I44="","",INDEX(Loans!K12:K61,I44))</f>
        <v/>
      </c>
      <c r="C44" s="46" t="str">
        <f aca="false">IF(I44="","",INDEX(Loans!D12:D61,I44))</f>
        <v/>
      </c>
      <c r="D44" s="45" t="str">
        <f aca="false">IF(I44="","",INDEX(Loans!V12:V61,I44))</f>
        <v/>
      </c>
      <c r="E44" s="45" t="str">
        <f aca="false">IF(I44="","",INDEX(Loans!O12:O61,I44))</f>
        <v/>
      </c>
      <c r="F44" s="47" t="str">
        <f aca="false">IF(I44="","",SUM(D44:E44))</f>
        <v/>
      </c>
      <c r="H44" s="16" t="n">
        <v>8</v>
      </c>
      <c r="I44" s="16" t="str">
        <f aca="false">IF(H44&gt;B6,"",MATCH(H44,Loans!Y12:Y61,0))</f>
        <v/>
      </c>
    </row>
    <row r="45" customFormat="false" ht="15" hidden="false" customHeight="false" outlineLevel="0" collapsed="false">
      <c r="A45" s="5" t="str">
        <f aca="false">IF(I45="","",INDEX(Loans!B12:B61,I45))</f>
        <v/>
      </c>
      <c r="B45" s="45" t="str">
        <f aca="false">IF(I45="","",INDEX(Loans!K12:K61,I45))</f>
        <v/>
      </c>
      <c r="C45" s="46" t="str">
        <f aca="false">IF(I45="","",INDEX(Loans!D12:D61,I45))</f>
        <v/>
      </c>
      <c r="D45" s="45" t="str">
        <f aca="false">IF(I45="","",INDEX(Loans!V12:V61,I45))</f>
        <v/>
      </c>
      <c r="E45" s="45" t="str">
        <f aca="false">IF(I45="","",INDEX(Loans!O12:O61,I45))</f>
        <v/>
      </c>
      <c r="F45" s="47" t="str">
        <f aca="false">IF(I45="","",SUM(D45:E45))</f>
        <v/>
      </c>
      <c r="H45" s="16" t="n">
        <v>9</v>
      </c>
      <c r="I45" s="16" t="str">
        <f aca="false">IF(H45&gt;B6,"",MATCH(H45,Loans!Y12:Y61,0))</f>
        <v/>
      </c>
    </row>
    <row r="46" customFormat="false" ht="15" hidden="false" customHeight="false" outlineLevel="0" collapsed="false">
      <c r="A46" s="5" t="str">
        <f aca="false">IF(I46="","",INDEX(Loans!B12:B61,I46))</f>
        <v/>
      </c>
      <c r="B46" s="45" t="str">
        <f aca="false">IF(I46="","",INDEX(Loans!K12:K61,I46))</f>
        <v/>
      </c>
      <c r="C46" s="46" t="str">
        <f aca="false">IF(I46="","",INDEX(Loans!D12:D61,I46))</f>
        <v/>
      </c>
      <c r="D46" s="45" t="str">
        <f aca="false">IF(I46="","",INDEX(Loans!V12:V61,I46))</f>
        <v/>
      </c>
      <c r="E46" s="45" t="str">
        <f aca="false">IF(I46="","",INDEX(Loans!O12:O61,I46))</f>
        <v/>
      </c>
      <c r="F46" s="47" t="str">
        <f aca="false">IF(I46="","",SUM(D46:E46))</f>
        <v/>
      </c>
      <c r="H46" s="16" t="n">
        <v>10</v>
      </c>
      <c r="I46" s="16" t="str">
        <f aca="false">IF(H46&gt;B6,"",MATCH(H46,Loans!Y12:Y61,0))</f>
        <v/>
      </c>
    </row>
    <row r="47" customFormat="false" ht="15" hidden="false" customHeight="false" outlineLevel="0" collapsed="false">
      <c r="A47" s="5" t="str">
        <f aca="false">IF(I47="","",INDEX(Loans!B12:B61,I47))</f>
        <v/>
      </c>
      <c r="B47" s="45" t="str">
        <f aca="false">IF(I47="","",INDEX(Loans!K12:K61,I47))</f>
        <v/>
      </c>
      <c r="C47" s="46" t="str">
        <f aca="false">IF(I47="","",INDEX(Loans!D12:D61,I47))</f>
        <v/>
      </c>
      <c r="D47" s="45" t="str">
        <f aca="false">IF(I47="","",INDEX(Loans!V12:V61,I47))</f>
        <v/>
      </c>
      <c r="E47" s="45" t="str">
        <f aca="false">IF(I47="","",INDEX(Loans!O12:O61,I47))</f>
        <v/>
      </c>
      <c r="F47" s="47" t="str">
        <f aca="false">IF(I47="","",SUM(D47:E47))</f>
        <v/>
      </c>
      <c r="H47" s="16" t="n">
        <v>11</v>
      </c>
      <c r="I47" s="16" t="str">
        <f aca="false">IF(H47&gt;B6,"",MATCH(H47,Loans!Y12:Y61,0))</f>
        <v/>
      </c>
    </row>
    <row r="48" customFormat="false" ht="15" hidden="false" customHeight="false" outlineLevel="0" collapsed="false">
      <c r="A48" s="5" t="str">
        <f aca="false">IF(I48="","",INDEX(Loans!B12:B61,I48))</f>
        <v/>
      </c>
      <c r="B48" s="45" t="str">
        <f aca="false">IF(I48="","",INDEX(Loans!K12:K61,I48))</f>
        <v/>
      </c>
      <c r="C48" s="46" t="str">
        <f aca="false">IF(I48="","",INDEX(Loans!D12:D61,I48))</f>
        <v/>
      </c>
      <c r="D48" s="45" t="str">
        <f aca="false">IF(I48="","",INDEX(Loans!V12:V61,I48))</f>
        <v/>
      </c>
      <c r="E48" s="45" t="str">
        <f aca="false">IF(I48="","",INDEX(Loans!O12:O61,I48))</f>
        <v/>
      </c>
      <c r="F48" s="47" t="str">
        <f aca="false">IF(I48="","",SUM(D48:E48))</f>
        <v/>
      </c>
      <c r="H48" s="16" t="n">
        <v>12</v>
      </c>
      <c r="I48" s="16" t="str">
        <f aca="false">IF(H48&gt;B6,"",MATCH(H48,Loans!Y12:Y61,0))</f>
        <v/>
      </c>
    </row>
    <row r="49" customFormat="false" ht="15" hidden="false" customHeight="false" outlineLevel="0" collapsed="false">
      <c r="A49" s="5" t="str">
        <f aca="false">IF(I49="","",INDEX(Loans!B12:B61,I49))</f>
        <v/>
      </c>
      <c r="B49" s="45" t="str">
        <f aca="false">IF(I49="","",INDEX(Loans!K12:K61,I49))</f>
        <v/>
      </c>
      <c r="C49" s="46" t="str">
        <f aca="false">IF(I49="","",INDEX(Loans!D12:D61,I49))</f>
        <v/>
      </c>
      <c r="D49" s="45" t="str">
        <f aca="false">IF(I49="","",INDEX(Loans!V12:V61,I49))</f>
        <v/>
      </c>
      <c r="E49" s="45" t="str">
        <f aca="false">IF(I49="","",INDEX(Loans!O12:O61,I49))</f>
        <v/>
      </c>
      <c r="F49" s="47" t="str">
        <f aca="false">IF(I49="","",SUM(D49:E49))</f>
        <v/>
      </c>
      <c r="H49" s="16" t="n">
        <v>13</v>
      </c>
      <c r="I49" s="16" t="str">
        <f aca="false">IF(H49&gt;B6,"",MATCH(H49,Loans!Y12:Y61,0))</f>
        <v/>
      </c>
    </row>
    <row r="50" customFormat="false" ht="15" hidden="false" customHeight="false" outlineLevel="0" collapsed="false">
      <c r="A50" s="5" t="str">
        <f aca="false">IF(I50="","",INDEX(Loans!B12:B61,I50))</f>
        <v/>
      </c>
      <c r="B50" s="45" t="str">
        <f aca="false">IF(I50="","",INDEX(Loans!K12:K61,I50))</f>
        <v/>
      </c>
      <c r="C50" s="46" t="str">
        <f aca="false">IF(I50="","",INDEX(Loans!D12:D61,I50))</f>
        <v/>
      </c>
      <c r="D50" s="45" t="str">
        <f aca="false">IF(I50="","",INDEX(Loans!V12:V61,I50))</f>
        <v/>
      </c>
      <c r="E50" s="45" t="str">
        <f aca="false">IF(I50="","",INDEX(Loans!O12:O61,I50))</f>
        <v/>
      </c>
      <c r="F50" s="47" t="str">
        <f aca="false">IF(I50="","",SUM(D50:E50))</f>
        <v/>
      </c>
      <c r="H50" s="16" t="n">
        <v>14</v>
      </c>
      <c r="I50" s="16" t="str">
        <f aca="false">IF(H50&gt;B6,"",MATCH(H50,Loans!Y12:Y61,0))</f>
        <v/>
      </c>
    </row>
    <row r="51" customFormat="false" ht="15" hidden="false" customHeight="false" outlineLevel="0" collapsed="false">
      <c r="A51" s="5" t="str">
        <f aca="false">IF(I51="","",INDEX(Loans!B12:B61,I51))</f>
        <v/>
      </c>
      <c r="B51" s="45" t="str">
        <f aca="false">IF(I51="","",INDEX(Loans!K12:K61,I51))</f>
        <v/>
      </c>
      <c r="C51" s="46" t="str">
        <f aca="false">IF(I51="","",INDEX(Loans!D12:D61,I51))</f>
        <v/>
      </c>
      <c r="D51" s="45" t="str">
        <f aca="false">IF(I51="","",INDEX(Loans!V12:V61,I51))</f>
        <v/>
      </c>
      <c r="E51" s="45" t="str">
        <f aca="false">IF(I51="","",INDEX(Loans!O12:O61,I51))</f>
        <v/>
      </c>
      <c r="F51" s="47" t="str">
        <f aca="false">IF(I51="","",SUM(D51:E51))</f>
        <v/>
      </c>
      <c r="H51" s="16" t="n">
        <v>15</v>
      </c>
      <c r="I51" s="16" t="str">
        <f aca="false">IF(H51&gt;B6,"",MATCH(H51,Loans!Y12:Y61,0))</f>
        <v/>
      </c>
    </row>
    <row r="52" customFormat="false" ht="15" hidden="false" customHeight="false" outlineLevel="0" collapsed="false">
      <c r="A52" s="5" t="str">
        <f aca="false">IF(I52="","",INDEX(Loans!B12:B61,I52))</f>
        <v/>
      </c>
      <c r="B52" s="45" t="str">
        <f aca="false">IF(I52="","",INDEX(Loans!K12:K61,I52))</f>
        <v/>
      </c>
      <c r="C52" s="46" t="str">
        <f aca="false">IF(I52="","",INDEX(Loans!D12:D61,I52))</f>
        <v/>
      </c>
      <c r="D52" s="45" t="str">
        <f aca="false">IF(I52="","",INDEX(Loans!V12:V61,I52))</f>
        <v/>
      </c>
      <c r="E52" s="45" t="str">
        <f aca="false">IF(I52="","",INDEX(Loans!O12:O61,I52))</f>
        <v/>
      </c>
      <c r="F52" s="47" t="str">
        <f aca="false">IF(I52="","",SUM(D52:E52))</f>
        <v/>
      </c>
      <c r="H52" s="16" t="n">
        <v>16</v>
      </c>
      <c r="I52" s="16" t="str">
        <f aca="false">IF(H52&gt;B6,"",MATCH(H52,Loans!Y12:Y61,0))</f>
        <v/>
      </c>
    </row>
    <row r="53" customFormat="false" ht="15" hidden="false" customHeight="false" outlineLevel="0" collapsed="false">
      <c r="A53" s="5" t="str">
        <f aca="false">IF(I53="","",INDEX(Loans!B12:B61,I53))</f>
        <v/>
      </c>
      <c r="B53" s="45" t="str">
        <f aca="false">IF(I53="","",INDEX(Loans!K12:K61,I53))</f>
        <v/>
      </c>
      <c r="C53" s="46" t="str">
        <f aca="false">IF(I53="","",INDEX(Loans!D12:D61,I53))</f>
        <v/>
      </c>
      <c r="D53" s="45" t="str">
        <f aca="false">IF(I53="","",INDEX(Loans!V12:V61,I53))</f>
        <v/>
      </c>
      <c r="E53" s="45" t="str">
        <f aca="false">IF(I53="","",INDEX(Loans!O12:O61,I53))</f>
        <v/>
      </c>
      <c r="F53" s="47" t="str">
        <f aca="false">IF(I53="","",SUM(D53:E53))</f>
        <v/>
      </c>
      <c r="H53" s="16" t="n">
        <v>17</v>
      </c>
      <c r="I53" s="16" t="str">
        <f aca="false">IF(H53&gt;B6,"",MATCH(H53,Loans!Y12:Y61,0))</f>
        <v/>
      </c>
    </row>
    <row r="54" customFormat="false" ht="15" hidden="false" customHeight="false" outlineLevel="0" collapsed="false">
      <c r="A54" s="5" t="str">
        <f aca="false">IF(I54="","",INDEX(Loans!B12:B61,I54))</f>
        <v/>
      </c>
      <c r="B54" s="45" t="str">
        <f aca="false">IF(I54="","",INDEX(Loans!K12:K61,I54))</f>
        <v/>
      </c>
      <c r="C54" s="46" t="str">
        <f aca="false">IF(I54="","",INDEX(Loans!D12:D61,I54))</f>
        <v/>
      </c>
      <c r="D54" s="45" t="str">
        <f aca="false">IF(I54="","",INDEX(Loans!V12:V61,I54))</f>
        <v/>
      </c>
      <c r="E54" s="45" t="str">
        <f aca="false">IF(I54="","",INDEX(Loans!O12:O61,I54))</f>
        <v/>
      </c>
      <c r="F54" s="47" t="str">
        <f aca="false">IF(I54="","",SUM(D54:E54))</f>
        <v/>
      </c>
      <c r="H54" s="16" t="n">
        <v>18</v>
      </c>
      <c r="I54" s="16" t="str">
        <f aca="false">IF(H54&gt;B6,"",MATCH(H54,Loans!Y12:Y61,0))</f>
        <v/>
      </c>
    </row>
    <row r="55" customFormat="false" ht="15" hidden="false" customHeight="false" outlineLevel="0" collapsed="false">
      <c r="A55" s="5" t="str">
        <f aca="false">IF(I55="","",INDEX(Loans!B12:B61,I55))</f>
        <v/>
      </c>
      <c r="B55" s="45" t="str">
        <f aca="false">IF(I55="","",INDEX(Loans!K12:K61,I55))</f>
        <v/>
      </c>
      <c r="C55" s="46" t="str">
        <f aca="false">IF(I55="","",INDEX(Loans!D12:D61,I55))</f>
        <v/>
      </c>
      <c r="D55" s="45" t="str">
        <f aca="false">IF(I55="","",INDEX(Loans!V12:V61,I55))</f>
        <v/>
      </c>
      <c r="E55" s="45" t="str">
        <f aca="false">IF(I55="","",INDEX(Loans!O12:O61,I55))</f>
        <v/>
      </c>
      <c r="F55" s="47" t="str">
        <f aca="false">IF(I55="","",SUM(D55:E55))</f>
        <v/>
      </c>
      <c r="H55" s="16" t="n">
        <v>19</v>
      </c>
      <c r="I55" s="16" t="str">
        <f aca="false">IF(H55&gt;B6,"",MATCH(H55,Loans!Y12:Y61,0))</f>
        <v/>
      </c>
    </row>
    <row r="56" customFormat="false" ht="15" hidden="false" customHeight="false" outlineLevel="0" collapsed="false">
      <c r="A56" s="5" t="str">
        <f aca="false">IF(I56="","",INDEX(Loans!B12:B61,I56))</f>
        <v/>
      </c>
      <c r="B56" s="45" t="str">
        <f aca="false">IF(I56="","",INDEX(Loans!K12:K61,I56))</f>
        <v/>
      </c>
      <c r="C56" s="46" t="str">
        <f aca="false">IF(I56="","",INDEX(Loans!D12:D61,I56))</f>
        <v/>
      </c>
      <c r="D56" s="45" t="str">
        <f aca="false">IF(I56="","",INDEX(Loans!V12:V61,I56))</f>
        <v/>
      </c>
      <c r="E56" s="45" t="str">
        <f aca="false">IF(I56="","",INDEX(Loans!O12:O61,I56))</f>
        <v/>
      </c>
      <c r="F56" s="47" t="str">
        <f aca="false">IF(I56="","",SUM(D56:E56))</f>
        <v/>
      </c>
      <c r="H56" s="16" t="n">
        <v>20</v>
      </c>
      <c r="I56" s="16" t="str">
        <f aca="false">IF(H56&gt;B6,"",MATCH(H56,Loans!Y12:Y61,0))</f>
        <v/>
      </c>
    </row>
    <row r="57" customFormat="false" ht="15" hidden="false" customHeight="false" outlineLevel="0" collapsed="false">
      <c r="A57" s="2" t="s">
        <v>134</v>
      </c>
    </row>
  </sheetData>
  <mergeCells count="4">
    <mergeCell ref="A4:B4"/>
    <mergeCell ref="D4:E4"/>
    <mergeCell ref="A11:B11"/>
    <mergeCell ref="D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2026-10-01T19:32:50Z</dcterms:created>
  <dc:creator>openpyxl</dc:creator>
  <dc:description/>
  <dc:language>en-US</dc:language>
  <cp:lastModifiedBy/>
  <dcterms:modified xsi:type="dcterms:W3CDTF">2026-10-01T19:32:53Z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