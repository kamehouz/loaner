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risfavot/Downloads/"/>
    </mc:Choice>
  </mc:AlternateContent>
  <xr:revisionPtr revIDLastSave="0" documentId="13_ncr:1_{11DB33DA-7C2A-7B42-AFD1-825A0E0BDC5A}" xr6:coauthVersionLast="47" xr6:coauthVersionMax="47" xr10:uidLastSave="{00000000-0000-0000-0000-000000000000}"/>
  <bookViews>
    <workbookView xWindow="-32020" yWindow="980" windowWidth="28800" windowHeight="16060" xr2:uid="{00000000-000D-0000-FFFF-FFFF00000000}"/>
  </bookViews>
  <sheets>
    <sheet name="Pipeline Tracker" sheetId="3" r:id="rId1"/>
    <sheet name="Monthly Trail Rec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4" l="1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P35" i="3" s="1"/>
  <c r="O5" i="3"/>
  <c r="O35" i="3" s="1"/>
</calcChain>
</file>

<file path=xl/sharedStrings.xml><?xml version="1.0" encoding="utf-8"?>
<sst xmlns="http://schemas.openxmlformats.org/spreadsheetml/2006/main" count="42" uniqueCount="41">
  <si>
    <t>Notes</t>
  </si>
  <si>
    <t>Dinio LENDING  |  TuCoop Referral Pipeline Tracker</t>
  </si>
  <si>
    <t>Assumptions</t>
  </si>
  <si>
    <t>Model: TuCoop = Lender of record. Dinio = referral / origination-support partner (intake + packaging + monitoring). Commission: 2.0% at closing + 0.5% monthly for life of loan.</t>
  </si>
  <si>
    <t>Closing commission %</t>
  </si>
  <si>
    <t>Monthly trail %</t>
  </si>
  <si>
    <t>Lead ID</t>
  </si>
  <si>
    <t>Date Lead
Received</t>
  </si>
  <si>
    <t>Customer Name</t>
  </si>
  <si>
    <t>Phone</t>
  </si>
  <si>
    <t>RIMCO Seller</t>
  </si>
  <si>
    <t>Generator
Model</t>
  </si>
  <si>
    <t>Quote /
Loan Amt ($)</t>
  </si>
  <si>
    <t>Intake
Started</t>
  </si>
  <si>
    <t>Docs
Complete?</t>
  </si>
  <si>
    <t>Date Submitted
to TuCoop</t>
  </si>
  <si>
    <t>TuCoop
Contact</t>
  </si>
  <si>
    <t>Status</t>
  </si>
  <si>
    <t>Decision</t>
  </si>
  <si>
    <t>Close
Date</t>
  </si>
  <si>
    <t>2% Comm.
at Close ($)</t>
  </si>
  <si>
    <t>0.5% Monthly
Trail ($)</t>
  </si>
  <si>
    <t>Last Follow-up</t>
  </si>
  <si>
    <t>TOTALS:</t>
  </si>
  <si>
    <t>MONTHLY COMMISSION RECONCILIATION — 0.5% Trail (life of loan)</t>
  </si>
  <si>
    <t>One row per CLOSED loan. Each month, confirm TuCoop paid the 0.5% trail. This is recurring revenue — it leaks without a monthly check. Mark ✓ when payment received/verified.</t>
  </si>
  <si>
    <t>Customer</t>
  </si>
  <si>
    <t>Loan Amt ($)</t>
  </si>
  <si>
    <t>Monthly
Trail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</si>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</sst>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;&quot;($&quot;#,##0\);\-"/>
  </numFmts>
  <fonts count="9" x14ac:knownFonts="1">
    <font>
      <sz val="11"/>
      <color theme="1"/>
      <name val="Calibri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b/>
      <sz val="12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9"/>
      <color rgb="FF80808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/>
    <xf numFmtId="164" fontId="8" fillId="4" borderId="5" xfId="0" applyNumberFormat="1" applyFont="1" applyFill="1" applyBorder="1"/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165" fontId="5" fillId="5" borderId="4" xfId="0" applyNumberFormat="1" applyFont="1" applyFill="1" applyBorder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10" customWidth="1"/>
    <col min="2" max="2" width="12" customWidth="1"/>
    <col min="3" max="3" width="18" customWidth="1"/>
    <col min="4" max="4" width="13" customWidth="1"/>
    <col min="5" max="6" width="14" customWidth="1"/>
    <col min="7" max="7" width="13" customWidth="1"/>
    <col min="8" max="9" width="11" customWidth="1"/>
    <col min="10" max="11" width="13" customWidth="1"/>
    <col min="12" max="12" width="16" customWidth="1"/>
    <col min="13" max="13" width="12" customWidth="1"/>
    <col min="14" max="14" width="11" customWidth="1"/>
    <col min="15" max="17" width="13" customWidth="1"/>
    <col min="18" max="18" width="26" customWidth="1"/>
    <col min="19" max="19" width="8.6640625" customWidth="1"/>
    <col min="20" max="20" width="20" customWidth="1"/>
    <col min="21" max="21" width="10" customWidth="1"/>
    <col min="22" max="26" width="8.6640625" customWidth="1"/>
  </cols>
  <sheetData>
    <row r="1" spans="1:21" ht="30" customHeight="1" x14ac:dyDescent="0.2">
      <c r="A1" s="11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T1" s="1" t="s">
        <v>2</v>
      </c>
    </row>
    <row r="2" spans="1:21" ht="25.5" customHeight="1" x14ac:dyDescent="0.2">
      <c r="A2" s="14" t="s">
        <v>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T2" s="4" t="s">
        <v>4</v>
      </c>
      <c r="U2" s="5">
        <v>0.02</v>
      </c>
    </row>
    <row r="3" spans="1:21" x14ac:dyDescent="0.2">
      <c r="T3" s="4" t="s">
        <v>5</v>
      </c>
      <c r="U3" s="5">
        <v>5.0000000000000001E-3</v>
      </c>
    </row>
    <row r="4" spans="1:21" ht="30" customHeight="1" x14ac:dyDescent="0.2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0</v>
      </c>
    </row>
    <row r="5" spans="1:21" x14ac:dyDescent="0.2">
      <c r="A5" s="6"/>
      <c r="B5" s="6"/>
      <c r="C5" s="3"/>
      <c r="D5" s="6"/>
      <c r="E5" s="6"/>
      <c r="F5" s="6"/>
      <c r="G5" s="7"/>
      <c r="H5" s="6"/>
      <c r="I5" s="6"/>
      <c r="J5" s="6"/>
      <c r="K5" s="6"/>
      <c r="L5" s="6"/>
      <c r="M5" s="6"/>
      <c r="N5" s="6"/>
      <c r="O5" s="7" t="str">
        <f t="shared" ref="O5:O34" si="0">IF(AND($G5&lt;&gt;"",$N5&lt;&gt;""),$G5*$U$2,"")</f>
        <v/>
      </c>
      <c r="P5" s="7" t="str">
        <f t="shared" ref="P5:P34" si="1">IF(AND($G5&lt;&gt;"",$N5&lt;&gt;""),$G5*$U$3,"")</f>
        <v/>
      </c>
      <c r="Q5" s="6"/>
      <c r="R5" s="3"/>
    </row>
    <row r="6" spans="1:21" x14ac:dyDescent="0.2">
      <c r="A6" s="6"/>
      <c r="B6" s="6"/>
      <c r="C6" s="3"/>
      <c r="D6" s="6"/>
      <c r="E6" s="6"/>
      <c r="F6" s="6"/>
      <c r="G6" s="7"/>
      <c r="H6" s="6"/>
      <c r="I6" s="6"/>
      <c r="J6" s="6"/>
      <c r="K6" s="6"/>
      <c r="L6" s="6"/>
      <c r="M6" s="6"/>
      <c r="N6" s="6"/>
      <c r="O6" s="7" t="str">
        <f t="shared" si="0"/>
        <v/>
      </c>
      <c r="P6" s="7" t="str">
        <f t="shared" si="1"/>
        <v/>
      </c>
      <c r="Q6" s="6"/>
      <c r="R6" s="3"/>
    </row>
    <row r="7" spans="1:21" x14ac:dyDescent="0.2">
      <c r="A7" s="6"/>
      <c r="B7" s="6"/>
      <c r="C7" s="3"/>
      <c r="D7" s="6"/>
      <c r="E7" s="6"/>
      <c r="F7" s="6"/>
      <c r="G7" s="7"/>
      <c r="H7" s="6"/>
      <c r="I7" s="6"/>
      <c r="J7" s="6"/>
      <c r="K7" s="6"/>
      <c r="L7" s="6"/>
      <c r="M7" s="6"/>
      <c r="N7" s="6"/>
      <c r="O7" s="7" t="str">
        <f t="shared" si="0"/>
        <v/>
      </c>
      <c r="P7" s="7" t="str">
        <f t="shared" si="1"/>
        <v/>
      </c>
      <c r="Q7" s="6"/>
      <c r="R7" s="3"/>
    </row>
    <row r="8" spans="1:21" x14ac:dyDescent="0.2">
      <c r="A8" s="6"/>
      <c r="B8" s="6"/>
      <c r="C8" s="3"/>
      <c r="D8" s="6"/>
      <c r="E8" s="6"/>
      <c r="F8" s="6"/>
      <c r="G8" s="7"/>
      <c r="H8" s="6"/>
      <c r="I8" s="6"/>
      <c r="J8" s="6"/>
      <c r="K8" s="6"/>
      <c r="L8" s="6"/>
      <c r="M8" s="6"/>
      <c r="N8" s="6"/>
      <c r="O8" s="7" t="str">
        <f t="shared" si="0"/>
        <v/>
      </c>
      <c r="P8" s="7" t="str">
        <f t="shared" si="1"/>
        <v/>
      </c>
      <c r="Q8" s="6"/>
      <c r="R8" s="3"/>
    </row>
    <row r="9" spans="1:21" x14ac:dyDescent="0.2">
      <c r="A9" s="6"/>
      <c r="B9" s="6"/>
      <c r="C9" s="3"/>
      <c r="D9" s="6"/>
      <c r="E9" s="6"/>
      <c r="F9" s="6"/>
      <c r="G9" s="7"/>
      <c r="H9" s="6"/>
      <c r="I9" s="6"/>
      <c r="J9" s="6"/>
      <c r="K9" s="6"/>
      <c r="L9" s="6"/>
      <c r="M9" s="6"/>
      <c r="N9" s="6"/>
      <c r="O9" s="7" t="str">
        <f t="shared" si="0"/>
        <v/>
      </c>
      <c r="P9" s="7" t="str">
        <f t="shared" si="1"/>
        <v/>
      </c>
      <c r="Q9" s="6"/>
      <c r="R9" s="3"/>
    </row>
    <row r="10" spans="1:21" x14ac:dyDescent="0.2">
      <c r="A10" s="6"/>
      <c r="B10" s="6"/>
      <c r="C10" s="3"/>
      <c r="D10" s="6"/>
      <c r="E10" s="6"/>
      <c r="F10" s="6"/>
      <c r="G10" s="7"/>
      <c r="H10" s="6"/>
      <c r="I10" s="6"/>
      <c r="J10" s="6"/>
      <c r="K10" s="6"/>
      <c r="L10" s="6"/>
      <c r="M10" s="6"/>
      <c r="N10" s="6"/>
      <c r="O10" s="7" t="str">
        <f t="shared" si="0"/>
        <v/>
      </c>
      <c r="P10" s="7" t="str">
        <f t="shared" si="1"/>
        <v/>
      </c>
      <c r="Q10" s="6"/>
      <c r="R10" s="3"/>
    </row>
    <row r="11" spans="1:21" x14ac:dyDescent="0.2">
      <c r="A11" s="6"/>
      <c r="B11" s="6"/>
      <c r="C11" s="3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7" t="str">
        <f t="shared" si="0"/>
        <v/>
      </c>
      <c r="P11" s="7" t="str">
        <f t="shared" si="1"/>
        <v/>
      </c>
      <c r="Q11" s="6"/>
      <c r="R11" s="3"/>
    </row>
    <row r="12" spans="1:21" x14ac:dyDescent="0.2">
      <c r="A12" s="6"/>
      <c r="B12" s="6"/>
      <c r="C12" s="3"/>
      <c r="D12" s="6"/>
      <c r="E12" s="6"/>
      <c r="F12" s="6"/>
      <c r="G12" s="7"/>
      <c r="H12" s="6"/>
      <c r="I12" s="6"/>
      <c r="J12" s="6"/>
      <c r="K12" s="6"/>
      <c r="L12" s="6"/>
      <c r="M12" s="6"/>
      <c r="N12" s="6"/>
      <c r="O12" s="7" t="str">
        <f t="shared" si="0"/>
        <v/>
      </c>
      <c r="P12" s="7" t="str">
        <f t="shared" si="1"/>
        <v/>
      </c>
      <c r="Q12" s="6"/>
      <c r="R12" s="3"/>
    </row>
    <row r="13" spans="1:21" x14ac:dyDescent="0.2">
      <c r="A13" s="6"/>
      <c r="B13" s="6"/>
      <c r="C13" s="3"/>
      <c r="D13" s="6"/>
      <c r="E13" s="6"/>
      <c r="F13" s="6"/>
      <c r="G13" s="7"/>
      <c r="H13" s="6"/>
      <c r="I13" s="6"/>
      <c r="J13" s="6"/>
      <c r="K13" s="6"/>
      <c r="L13" s="6"/>
      <c r="M13" s="6"/>
      <c r="N13" s="6"/>
      <c r="O13" s="7" t="str">
        <f t="shared" si="0"/>
        <v/>
      </c>
      <c r="P13" s="7" t="str">
        <f t="shared" si="1"/>
        <v/>
      </c>
      <c r="Q13" s="6"/>
      <c r="R13" s="3"/>
    </row>
    <row r="14" spans="1:21" x14ac:dyDescent="0.2">
      <c r="A14" s="6"/>
      <c r="B14" s="6"/>
      <c r="C14" s="3"/>
      <c r="D14" s="6"/>
      <c r="E14" s="6"/>
      <c r="F14" s="6"/>
      <c r="G14" s="7"/>
      <c r="H14" s="6"/>
      <c r="I14" s="6"/>
      <c r="J14" s="6"/>
      <c r="K14" s="6"/>
      <c r="L14" s="6"/>
      <c r="M14" s="6"/>
      <c r="N14" s="6"/>
      <c r="O14" s="7" t="str">
        <f t="shared" si="0"/>
        <v/>
      </c>
      <c r="P14" s="7" t="str">
        <f t="shared" si="1"/>
        <v/>
      </c>
      <c r="Q14" s="6"/>
      <c r="R14" s="3"/>
    </row>
    <row r="15" spans="1:21" x14ac:dyDescent="0.2">
      <c r="A15" s="6"/>
      <c r="B15" s="6"/>
      <c r="C15" s="3"/>
      <c r="D15" s="6"/>
      <c r="E15" s="6"/>
      <c r="F15" s="6"/>
      <c r="G15" s="7"/>
      <c r="H15" s="6"/>
      <c r="I15" s="6"/>
      <c r="J15" s="6"/>
      <c r="K15" s="6"/>
      <c r="L15" s="6"/>
      <c r="M15" s="6"/>
      <c r="N15" s="6"/>
      <c r="O15" s="7" t="str">
        <f t="shared" si="0"/>
        <v/>
      </c>
      <c r="P15" s="7" t="str">
        <f t="shared" si="1"/>
        <v/>
      </c>
      <c r="Q15" s="6"/>
      <c r="R15" s="3"/>
    </row>
    <row r="16" spans="1:21" x14ac:dyDescent="0.2">
      <c r="A16" s="6"/>
      <c r="B16" s="6"/>
      <c r="C16" s="3"/>
      <c r="D16" s="6"/>
      <c r="E16" s="6"/>
      <c r="F16" s="6"/>
      <c r="G16" s="7"/>
      <c r="H16" s="6"/>
      <c r="I16" s="6"/>
      <c r="J16" s="6"/>
      <c r="K16" s="6"/>
      <c r="L16" s="6"/>
      <c r="M16" s="6"/>
      <c r="N16" s="6"/>
      <c r="O16" s="7" t="str">
        <f t="shared" si="0"/>
        <v/>
      </c>
      <c r="P16" s="7" t="str">
        <f t="shared" si="1"/>
        <v/>
      </c>
      <c r="Q16" s="6"/>
      <c r="R16" s="3"/>
    </row>
    <row r="17" spans="1:18" x14ac:dyDescent="0.2">
      <c r="A17" s="6"/>
      <c r="B17" s="6"/>
      <c r="C17" s="3"/>
      <c r="D17" s="6"/>
      <c r="E17" s="6"/>
      <c r="F17" s="6"/>
      <c r="G17" s="7"/>
      <c r="H17" s="6"/>
      <c r="I17" s="6"/>
      <c r="J17" s="6"/>
      <c r="K17" s="6"/>
      <c r="L17" s="6"/>
      <c r="M17" s="6"/>
      <c r="N17" s="6"/>
      <c r="O17" s="7" t="str">
        <f t="shared" si="0"/>
        <v/>
      </c>
      <c r="P17" s="7" t="str">
        <f t="shared" si="1"/>
        <v/>
      </c>
      <c r="Q17" s="6"/>
      <c r="R17" s="3"/>
    </row>
    <row r="18" spans="1:18" x14ac:dyDescent="0.2">
      <c r="A18" s="6"/>
      <c r="B18" s="6"/>
      <c r="C18" s="3"/>
      <c r="D18" s="6"/>
      <c r="E18" s="6"/>
      <c r="F18" s="6"/>
      <c r="G18" s="7"/>
      <c r="H18" s="6"/>
      <c r="I18" s="6"/>
      <c r="J18" s="6"/>
      <c r="K18" s="6"/>
      <c r="L18" s="6"/>
      <c r="M18" s="6"/>
      <c r="N18" s="6"/>
      <c r="O18" s="7" t="str">
        <f t="shared" si="0"/>
        <v/>
      </c>
      <c r="P18" s="7" t="str">
        <f t="shared" si="1"/>
        <v/>
      </c>
      <c r="Q18" s="6"/>
      <c r="R18" s="3"/>
    </row>
    <row r="19" spans="1:18" x14ac:dyDescent="0.2">
      <c r="A19" s="6"/>
      <c r="B19" s="6"/>
      <c r="C19" s="3"/>
      <c r="D19" s="6"/>
      <c r="E19" s="6"/>
      <c r="F19" s="6"/>
      <c r="G19" s="7"/>
      <c r="H19" s="6"/>
      <c r="I19" s="6"/>
      <c r="J19" s="6"/>
      <c r="K19" s="6"/>
      <c r="L19" s="6"/>
      <c r="M19" s="6"/>
      <c r="N19" s="6"/>
      <c r="O19" s="7" t="str">
        <f t="shared" si="0"/>
        <v/>
      </c>
      <c r="P19" s="7" t="str">
        <f t="shared" si="1"/>
        <v/>
      </c>
      <c r="Q19" s="6"/>
      <c r="R19" s="3"/>
    </row>
    <row r="20" spans="1:18" x14ac:dyDescent="0.2">
      <c r="A20" s="6"/>
      <c r="B20" s="6"/>
      <c r="C20" s="3"/>
      <c r="D20" s="6"/>
      <c r="E20" s="6"/>
      <c r="F20" s="6"/>
      <c r="G20" s="7"/>
      <c r="H20" s="6"/>
      <c r="I20" s="6"/>
      <c r="J20" s="6"/>
      <c r="K20" s="6"/>
      <c r="L20" s="6"/>
      <c r="M20" s="6"/>
      <c r="N20" s="6"/>
      <c r="O20" s="7" t="str">
        <f t="shared" si="0"/>
        <v/>
      </c>
      <c r="P20" s="7" t="str">
        <f t="shared" si="1"/>
        <v/>
      </c>
      <c r="Q20" s="6"/>
      <c r="R20" s="3"/>
    </row>
    <row r="21" spans="1:18" ht="15.75" customHeight="1" x14ac:dyDescent="0.2">
      <c r="A21" s="6"/>
      <c r="B21" s="6"/>
      <c r="C21" s="3"/>
      <c r="D21" s="6"/>
      <c r="E21" s="6"/>
      <c r="F21" s="6"/>
      <c r="G21" s="7"/>
      <c r="H21" s="6"/>
      <c r="I21" s="6"/>
      <c r="J21" s="6"/>
      <c r="K21" s="6"/>
      <c r="L21" s="6"/>
      <c r="M21" s="6"/>
      <c r="N21" s="6"/>
      <c r="O21" s="7" t="str">
        <f t="shared" si="0"/>
        <v/>
      </c>
      <c r="P21" s="7" t="str">
        <f t="shared" si="1"/>
        <v/>
      </c>
      <c r="Q21" s="6"/>
      <c r="R21" s="3"/>
    </row>
    <row r="22" spans="1:18" ht="15.75" customHeight="1" x14ac:dyDescent="0.2">
      <c r="A22" s="6"/>
      <c r="B22" s="6"/>
      <c r="C22" s="3"/>
      <c r="D22" s="6"/>
      <c r="E22" s="6"/>
      <c r="F22" s="6"/>
      <c r="G22" s="7"/>
      <c r="H22" s="6"/>
      <c r="I22" s="6"/>
      <c r="J22" s="6"/>
      <c r="K22" s="6"/>
      <c r="L22" s="6"/>
      <c r="M22" s="6"/>
      <c r="N22" s="6"/>
      <c r="O22" s="7" t="str">
        <f t="shared" si="0"/>
        <v/>
      </c>
      <c r="P22" s="7" t="str">
        <f t="shared" si="1"/>
        <v/>
      </c>
      <c r="Q22" s="6"/>
      <c r="R22" s="3"/>
    </row>
    <row r="23" spans="1:18" ht="15.75" customHeight="1" x14ac:dyDescent="0.2">
      <c r="A23" s="6"/>
      <c r="B23" s="6"/>
      <c r="C23" s="3"/>
      <c r="D23" s="6"/>
      <c r="E23" s="6"/>
      <c r="F23" s="6"/>
      <c r="G23" s="7"/>
      <c r="H23" s="6"/>
      <c r="I23" s="6"/>
      <c r="J23" s="6"/>
      <c r="K23" s="6"/>
      <c r="L23" s="6"/>
      <c r="M23" s="6"/>
      <c r="N23" s="6"/>
      <c r="O23" s="7" t="str">
        <f t="shared" si="0"/>
        <v/>
      </c>
      <c r="P23" s="7" t="str">
        <f t="shared" si="1"/>
        <v/>
      </c>
      <c r="Q23" s="6"/>
      <c r="R23" s="3"/>
    </row>
    <row r="24" spans="1:18" ht="15.75" customHeight="1" x14ac:dyDescent="0.2">
      <c r="A24" s="6"/>
      <c r="B24" s="6"/>
      <c r="C24" s="3"/>
      <c r="D24" s="6"/>
      <c r="E24" s="6"/>
      <c r="F24" s="6"/>
      <c r="G24" s="7"/>
      <c r="H24" s="6"/>
      <c r="I24" s="6"/>
      <c r="J24" s="6"/>
      <c r="K24" s="6"/>
      <c r="L24" s="6"/>
      <c r="M24" s="6"/>
      <c r="N24" s="6"/>
      <c r="O24" s="7" t="str">
        <f t="shared" si="0"/>
        <v/>
      </c>
      <c r="P24" s="7" t="str">
        <f t="shared" si="1"/>
        <v/>
      </c>
      <c r="Q24" s="6"/>
      <c r="R24" s="3"/>
    </row>
    <row r="25" spans="1:18" ht="15.75" customHeight="1" x14ac:dyDescent="0.2">
      <c r="A25" s="6"/>
      <c r="B25" s="6"/>
      <c r="C25" s="3"/>
      <c r="D25" s="6"/>
      <c r="E25" s="6"/>
      <c r="F25" s="6"/>
      <c r="G25" s="7"/>
      <c r="H25" s="6"/>
      <c r="I25" s="6"/>
      <c r="J25" s="6"/>
      <c r="K25" s="6"/>
      <c r="L25" s="6"/>
      <c r="M25" s="6"/>
      <c r="N25" s="6"/>
      <c r="O25" s="7" t="str">
        <f t="shared" si="0"/>
        <v/>
      </c>
      <c r="P25" s="7" t="str">
        <f t="shared" si="1"/>
        <v/>
      </c>
      <c r="Q25" s="6"/>
      <c r="R25" s="3"/>
    </row>
    <row r="26" spans="1:18" ht="15.75" customHeight="1" x14ac:dyDescent="0.2">
      <c r="A26" s="6"/>
      <c r="B26" s="6"/>
      <c r="C26" s="3"/>
      <c r="D26" s="6"/>
      <c r="E26" s="6"/>
      <c r="F26" s="6"/>
      <c r="G26" s="7"/>
      <c r="H26" s="6"/>
      <c r="I26" s="6"/>
      <c r="J26" s="6"/>
      <c r="K26" s="6"/>
      <c r="L26" s="6"/>
      <c r="M26" s="6"/>
      <c r="N26" s="6"/>
      <c r="O26" s="7" t="str">
        <f t="shared" si="0"/>
        <v/>
      </c>
      <c r="P26" s="7" t="str">
        <f t="shared" si="1"/>
        <v/>
      </c>
      <c r="Q26" s="6"/>
      <c r="R26" s="3"/>
    </row>
    <row r="27" spans="1:18" ht="15.75" customHeight="1" x14ac:dyDescent="0.2">
      <c r="A27" s="6"/>
      <c r="B27" s="6"/>
      <c r="C27" s="3"/>
      <c r="D27" s="6"/>
      <c r="E27" s="6"/>
      <c r="F27" s="6"/>
      <c r="G27" s="7"/>
      <c r="H27" s="6"/>
      <c r="I27" s="6"/>
      <c r="J27" s="6"/>
      <c r="K27" s="6"/>
      <c r="L27" s="6"/>
      <c r="M27" s="6"/>
      <c r="N27" s="6"/>
      <c r="O27" s="7" t="str">
        <f t="shared" si="0"/>
        <v/>
      </c>
      <c r="P27" s="7" t="str">
        <f t="shared" si="1"/>
        <v/>
      </c>
      <c r="Q27" s="6"/>
      <c r="R27" s="3"/>
    </row>
    <row r="28" spans="1:18" ht="15.75" customHeight="1" x14ac:dyDescent="0.2">
      <c r="A28" s="6"/>
      <c r="B28" s="6"/>
      <c r="C28" s="3"/>
      <c r="D28" s="6"/>
      <c r="E28" s="6"/>
      <c r="F28" s="6"/>
      <c r="G28" s="7"/>
      <c r="H28" s="6"/>
      <c r="I28" s="6"/>
      <c r="J28" s="6"/>
      <c r="K28" s="6"/>
      <c r="L28" s="6"/>
      <c r="M28" s="6"/>
      <c r="N28" s="6"/>
      <c r="O28" s="7" t="str">
        <f t="shared" si="0"/>
        <v/>
      </c>
      <c r="P28" s="7" t="str">
        <f t="shared" si="1"/>
        <v/>
      </c>
      <c r="Q28" s="6"/>
      <c r="R28" s="3"/>
    </row>
    <row r="29" spans="1:18" ht="15.75" customHeight="1" x14ac:dyDescent="0.2">
      <c r="A29" s="6"/>
      <c r="B29" s="6"/>
      <c r="C29" s="3"/>
      <c r="D29" s="6"/>
      <c r="E29" s="6"/>
      <c r="F29" s="6"/>
      <c r="G29" s="7"/>
      <c r="H29" s="6"/>
      <c r="I29" s="6"/>
      <c r="J29" s="6"/>
      <c r="K29" s="6"/>
      <c r="L29" s="6"/>
      <c r="M29" s="6"/>
      <c r="N29" s="6"/>
      <c r="O29" s="7" t="str">
        <f t="shared" si="0"/>
        <v/>
      </c>
      <c r="P29" s="7" t="str">
        <f t="shared" si="1"/>
        <v/>
      </c>
      <c r="Q29" s="6"/>
      <c r="R29" s="3"/>
    </row>
    <row r="30" spans="1:18" ht="15.75" customHeight="1" x14ac:dyDescent="0.2">
      <c r="A30" s="6"/>
      <c r="B30" s="6"/>
      <c r="C30" s="3"/>
      <c r="D30" s="6"/>
      <c r="E30" s="6"/>
      <c r="F30" s="6"/>
      <c r="G30" s="7"/>
      <c r="H30" s="6"/>
      <c r="I30" s="6"/>
      <c r="J30" s="6"/>
      <c r="K30" s="6"/>
      <c r="L30" s="6"/>
      <c r="M30" s="6"/>
      <c r="N30" s="6"/>
      <c r="O30" s="7" t="str">
        <f t="shared" si="0"/>
        <v/>
      </c>
      <c r="P30" s="7" t="str">
        <f t="shared" si="1"/>
        <v/>
      </c>
      <c r="Q30" s="6"/>
      <c r="R30" s="3"/>
    </row>
    <row r="31" spans="1:18" ht="15.75" customHeight="1" x14ac:dyDescent="0.2">
      <c r="A31" s="6"/>
      <c r="B31" s="6"/>
      <c r="C31" s="3"/>
      <c r="D31" s="6"/>
      <c r="E31" s="6"/>
      <c r="F31" s="6"/>
      <c r="G31" s="7"/>
      <c r="H31" s="6"/>
      <c r="I31" s="6"/>
      <c r="J31" s="6"/>
      <c r="K31" s="6"/>
      <c r="L31" s="6"/>
      <c r="M31" s="6"/>
      <c r="N31" s="6"/>
      <c r="O31" s="7" t="str">
        <f t="shared" si="0"/>
        <v/>
      </c>
      <c r="P31" s="7" t="str">
        <f t="shared" si="1"/>
        <v/>
      </c>
      <c r="Q31" s="6"/>
      <c r="R31" s="3"/>
    </row>
    <row r="32" spans="1:18" ht="15.75" customHeight="1" x14ac:dyDescent="0.2">
      <c r="A32" s="6"/>
      <c r="B32" s="6"/>
      <c r="C32" s="3"/>
      <c r="D32" s="6"/>
      <c r="E32" s="6"/>
      <c r="F32" s="6"/>
      <c r="G32" s="7"/>
      <c r="H32" s="6"/>
      <c r="I32" s="6"/>
      <c r="J32" s="6"/>
      <c r="K32" s="6"/>
      <c r="L32" s="6"/>
      <c r="M32" s="6"/>
      <c r="N32" s="6"/>
      <c r="O32" s="7" t="str">
        <f t="shared" si="0"/>
        <v/>
      </c>
      <c r="P32" s="7" t="str">
        <f t="shared" si="1"/>
        <v/>
      </c>
      <c r="Q32" s="6"/>
      <c r="R32" s="3"/>
    </row>
    <row r="33" spans="1:18" ht="15.75" customHeight="1" x14ac:dyDescent="0.2">
      <c r="A33" s="6"/>
      <c r="B33" s="6"/>
      <c r="C33" s="3"/>
      <c r="D33" s="6"/>
      <c r="E33" s="6"/>
      <c r="F33" s="6"/>
      <c r="G33" s="7"/>
      <c r="H33" s="6"/>
      <c r="I33" s="6"/>
      <c r="J33" s="6"/>
      <c r="K33" s="6"/>
      <c r="L33" s="6"/>
      <c r="M33" s="6"/>
      <c r="N33" s="6"/>
      <c r="O33" s="7" t="str">
        <f t="shared" si="0"/>
        <v/>
      </c>
      <c r="P33" s="7" t="str">
        <f t="shared" si="1"/>
        <v/>
      </c>
      <c r="Q33" s="6"/>
      <c r="R33" s="3"/>
    </row>
    <row r="34" spans="1:18" ht="15.75" customHeight="1" x14ac:dyDescent="0.2">
      <c r="A34" s="6"/>
      <c r="B34" s="6"/>
      <c r="C34" s="3"/>
      <c r="D34" s="6"/>
      <c r="E34" s="6"/>
      <c r="F34" s="6"/>
      <c r="G34" s="7"/>
      <c r="H34" s="6"/>
      <c r="I34" s="6"/>
      <c r="J34" s="6"/>
      <c r="K34" s="6"/>
      <c r="L34" s="6"/>
      <c r="M34" s="6"/>
      <c r="N34" s="6"/>
      <c r="O34" s="7" t="str">
        <f t="shared" si="0"/>
        <v/>
      </c>
      <c r="P34" s="7" t="str">
        <f t="shared" si="1"/>
        <v/>
      </c>
      <c r="Q34" s="6"/>
      <c r="R34" s="3"/>
    </row>
    <row r="35" spans="1:18" ht="15.75" customHeight="1" x14ac:dyDescent="0.2">
      <c r="N35" s="8" t="s">
        <v>23</v>
      </c>
      <c r="O35" s="9">
        <f t="shared" ref="O35:P35" si="2">SUM(O5:O34)</f>
        <v>0</v>
      </c>
      <c r="P35" s="9">
        <f t="shared" si="2"/>
        <v>0</v>
      </c>
    </row>
    <row r="36" spans="1:18" ht="15.75" customHeight="1" x14ac:dyDescent="0.2"/>
    <row r="37" spans="1:18" ht="15.75" customHeight="1" x14ac:dyDescent="0.2"/>
    <row r="38" spans="1:18" ht="15.75" customHeight="1" x14ac:dyDescent="0.2"/>
    <row r="39" spans="1:18" ht="15.75" customHeight="1" x14ac:dyDescent="0.2"/>
    <row r="40" spans="1:18" ht="15.75" customHeight="1" x14ac:dyDescent="0.2"/>
    <row r="41" spans="1:18" ht="15.75" customHeight="1" x14ac:dyDescent="0.2"/>
    <row r="42" spans="1:18" ht="15.75" customHeight="1" x14ac:dyDescent="0.2"/>
    <row r="43" spans="1:18" ht="15.75" customHeight="1" x14ac:dyDescent="0.2"/>
    <row r="44" spans="1:18" ht="15.75" customHeight="1" x14ac:dyDescent="0.2"/>
    <row r="45" spans="1:18" ht="15.75" customHeight="1" x14ac:dyDescent="0.2"/>
    <row r="46" spans="1:18" ht="15.75" customHeight="1" x14ac:dyDescent="0.2"/>
    <row r="47" spans="1:18" ht="15.75" customHeight="1" x14ac:dyDescent="0.2"/>
    <row r="48" spans="1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R1"/>
    <mergeCell ref="A2:R2"/>
  </mergeCells>
  <dataValidations count="3">
    <dataValidation type="list" allowBlank="1" sqref="L5:L34" xr:uid="{00000000-0002-0000-0200-000000000000}">
      <formula1>"1-Lead Logged,2-Collecting Docs,3-Ready to Submit,4-Submitted,5-In Underwriting,6-Decision,7-Closed,X-Dead"</formula1>
    </dataValidation>
    <dataValidation type="list" allowBlank="1" sqref="M5:M34" xr:uid="{00000000-0002-0000-0200-000001000000}">
      <formula1>"Approved,Denied,Conditional,Pending"</formula1>
    </dataValidation>
    <dataValidation type="list" allowBlank="1" sqref="I5:I34" xr:uid="{00000000-0002-0000-0200-000002000000}">
      <formula1>"Yes,No,Pending"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10" customWidth="1"/>
    <col min="2" max="2" width="18" customWidth="1"/>
    <col min="3" max="3" width="13" customWidth="1"/>
    <col min="4" max="4" width="12" customWidth="1"/>
    <col min="5" max="16" width="6" customWidth="1"/>
    <col min="17" max="26" width="8.6640625" customWidth="1"/>
  </cols>
  <sheetData>
    <row r="1" spans="1:16" ht="30" customHeight="1" x14ac:dyDescent="0.2">
      <c r="A1" s="11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6" ht="25.5" customHeight="1" x14ac:dyDescent="0.2">
      <c r="A2" s="14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27.75" customHeight="1" x14ac:dyDescent="0.2">
      <c r="A4" s="2" t="s">
        <v>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</row>
    <row r="5" spans="1:16" x14ac:dyDescent="0.2">
      <c r="A5" s="6"/>
      <c r="B5" s="6"/>
      <c r="C5" s="7"/>
      <c r="D5" s="7" t="str">
        <f t="shared" ref="D5:D29" si="0">IF(C5&lt;&gt;"",C5*0.005,"")</f>
        <v/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">
      <c r="A6" s="6"/>
      <c r="B6" s="6"/>
      <c r="C6" s="7"/>
      <c r="D6" s="7" t="str">
        <f t="shared" si="0"/>
        <v/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">
      <c r="A7" s="6"/>
      <c r="B7" s="6"/>
      <c r="C7" s="7"/>
      <c r="D7" s="7" t="str">
        <f t="shared" si="0"/>
        <v/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">
      <c r="A8" s="6"/>
      <c r="B8" s="6"/>
      <c r="C8" s="7"/>
      <c r="D8" s="7" t="str">
        <f t="shared" si="0"/>
        <v/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">
      <c r="A9" s="6"/>
      <c r="B9" s="6"/>
      <c r="C9" s="7"/>
      <c r="D9" s="7" t="str">
        <f t="shared" si="0"/>
        <v/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">
      <c r="A10" s="6"/>
      <c r="B10" s="6"/>
      <c r="C10" s="7"/>
      <c r="D10" s="7" t="str">
        <f t="shared" si="0"/>
        <v/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">
      <c r="A11" s="6"/>
      <c r="B11" s="6"/>
      <c r="C11" s="7"/>
      <c r="D11" s="7" t="str">
        <f t="shared" si="0"/>
        <v/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">
      <c r="A12" s="6"/>
      <c r="B12" s="6"/>
      <c r="C12" s="7"/>
      <c r="D12" s="7" t="str">
        <f t="shared" si="0"/>
        <v/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">
      <c r="A13" s="6"/>
      <c r="B13" s="6"/>
      <c r="C13" s="7"/>
      <c r="D13" s="7" t="str">
        <f t="shared" si="0"/>
        <v/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">
      <c r="A14" s="6"/>
      <c r="B14" s="6"/>
      <c r="C14" s="7"/>
      <c r="D14" s="7" t="str">
        <f t="shared" si="0"/>
        <v/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">
      <c r="A15" s="6"/>
      <c r="B15" s="6"/>
      <c r="C15" s="7"/>
      <c r="D15" s="7" t="str">
        <f t="shared" si="0"/>
        <v/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">
      <c r="A16" s="6"/>
      <c r="B16" s="6"/>
      <c r="C16" s="7"/>
      <c r="D16" s="7" t="str">
        <f t="shared" si="0"/>
        <v/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s="6"/>
      <c r="B17" s="6"/>
      <c r="C17" s="7"/>
      <c r="D17" s="7" t="str">
        <f t="shared" si="0"/>
        <v/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A18" s="6"/>
      <c r="B18" s="6"/>
      <c r="C18" s="7"/>
      <c r="D18" s="7" t="str">
        <f t="shared" si="0"/>
        <v/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">
      <c r="A19" s="6"/>
      <c r="B19" s="6"/>
      <c r="C19" s="7"/>
      <c r="D19" s="7" t="str">
        <f t="shared" si="0"/>
        <v/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">
      <c r="A20" s="6"/>
      <c r="B20" s="6"/>
      <c r="C20" s="7"/>
      <c r="D20" s="7" t="str">
        <f t="shared" si="0"/>
        <v/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">
      <c r="A21" s="6"/>
      <c r="B21" s="6"/>
      <c r="C21" s="7"/>
      <c r="D21" s="7" t="str">
        <f t="shared" si="0"/>
        <v/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">
      <c r="A22" s="6"/>
      <c r="B22" s="6"/>
      <c r="C22" s="7"/>
      <c r="D22" s="7" t="str">
        <f t="shared" si="0"/>
        <v/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">
      <c r="A23" s="6"/>
      <c r="B23" s="6"/>
      <c r="C23" s="7"/>
      <c r="D23" s="7" t="str">
        <f t="shared" si="0"/>
        <v/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">
      <c r="A24" s="6"/>
      <c r="B24" s="6"/>
      <c r="C24" s="7"/>
      <c r="D24" s="7" t="str">
        <f t="shared" si="0"/>
        <v/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">
      <c r="A25" s="6"/>
      <c r="B25" s="6"/>
      <c r="C25" s="7"/>
      <c r="D25" s="7" t="str">
        <f t="shared" si="0"/>
        <v/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">
      <c r="A26" s="6"/>
      <c r="B26" s="6"/>
      <c r="C26" s="7"/>
      <c r="D26" s="7" t="str">
        <f t="shared" si="0"/>
        <v/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">
      <c r="A27" s="6"/>
      <c r="B27" s="6"/>
      <c r="C27" s="7"/>
      <c r="D27" s="7" t="str">
        <f t="shared" si="0"/>
        <v/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">
      <c r="A28" s="6"/>
      <c r="B28" s="6"/>
      <c r="C28" s="7"/>
      <c r="D28" s="7" t="str">
        <f t="shared" si="0"/>
        <v/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">
      <c r="A29" s="6"/>
      <c r="B29" s="6"/>
      <c r="C29" s="7"/>
      <c r="D29" s="7" t="str">
        <f t="shared" si="0"/>
        <v/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"/>
    <row r="31" spans="1:16" ht="15.75" customHeight="1" x14ac:dyDescent="0.2"/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P1"/>
    <mergeCell ref="A2:P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Tracker</vt:lpstr>
      <vt:lpstr>Monthly Trail 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Favot</cp:lastModifiedBy>
  <dcterms:modified xsi:type="dcterms:W3CDTF">2026-06-08T18:49:34Z</dcterms:modified>
</cp:coreProperties>
</file>